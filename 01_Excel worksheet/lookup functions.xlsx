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8_{47CCBB99-B23B-4F41-9E6F-B281B5DBA15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mployees" sheetId="1" r:id="rId1"/>
  </sheets>
  <calcPr calcId="191029"/>
</workbook>
</file>

<file path=xl/calcChain.xml><?xml version="1.0" encoding="utf-8"?>
<calcChain xmlns="http://schemas.openxmlformats.org/spreadsheetml/2006/main">
  <c r="L10" i="1" l="1"/>
  <c r="A110" i="1"/>
  <c r="O7" i="1"/>
  <c r="N16" i="1"/>
  <c r="O12" i="1"/>
  <c r="O10" i="1"/>
  <c r="O8" i="1"/>
</calcChain>
</file>

<file path=xl/sharedStrings.xml><?xml version="1.0" encoding="utf-8"?>
<sst xmlns="http://schemas.openxmlformats.org/spreadsheetml/2006/main" count="1197" uniqueCount="303">
  <si>
    <t>Emp ID</t>
  </si>
  <si>
    <t>Full name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</si>
  <si>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</si>
  <si>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</si>
  <si>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</si>
  <si>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</si>
  <si>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</si>
  <si>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</si>
  <si>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</si>
  <si>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</si>
  <si>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</si>
  <si>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E001</t>
  </si>
  <si>
    <t>Olivia Khan</t>
  </si>
  <si>
    <t>Operations</t>
  </si>
  <si>
    <t>Enterprise</t>
  </si>
  <si>
    <t>Female</t>
  </si>
  <si>
    <t>White</t>
  </si>
  <si>
    <t>2016-05-08</t>
  </si>
  <si>
    <t>UK</t>
  </si>
  <si>
    <t>Manchester</t>
  </si>
  <si>
    <t>E002</t>
  </si>
  <si>
    <t>Ali Wilson</t>
  </si>
  <si>
    <t>HR</t>
  </si>
  <si>
    <t>Corporate</t>
  </si>
  <si>
    <t>Hispanic</t>
  </si>
  <si>
    <t>2016-11-06</t>
  </si>
  <si>
    <t>Birmingham</t>
  </si>
  <si>
    <t>E003</t>
  </si>
  <si>
    <t>John Wilson</t>
  </si>
  <si>
    <t>IT</t>
  </si>
  <si>
    <t>Male</t>
  </si>
  <si>
    <t>2016-10-24</t>
  </si>
  <si>
    <t>Pakistan</t>
  </si>
  <si>
    <t>Islamabad</t>
  </si>
  <si>
    <t>E004</t>
  </si>
  <si>
    <t>Ahmed Ahmed</t>
  </si>
  <si>
    <t>Sales</t>
  </si>
  <si>
    <t>2016-03-22</t>
  </si>
  <si>
    <t>USA</t>
  </si>
  <si>
    <t>Chicago</t>
  </si>
  <si>
    <t>E005</t>
  </si>
  <si>
    <t>Emma Hussain</t>
  </si>
  <si>
    <t>Retail</t>
  </si>
  <si>
    <t>Black</t>
  </si>
  <si>
    <t>2023-07-17</t>
  </si>
  <si>
    <t>Canada</t>
  </si>
  <si>
    <t>Toronto</t>
  </si>
  <si>
    <t>E006</t>
  </si>
  <si>
    <t>Sara Malik</t>
  </si>
  <si>
    <t>Finance</t>
  </si>
  <si>
    <t>2019-10-17</t>
  </si>
  <si>
    <t>Lahore</t>
  </si>
  <si>
    <t>E007</t>
  </si>
  <si>
    <t>Ayesha Malik</t>
  </si>
  <si>
    <t>Marketing</t>
  </si>
  <si>
    <t>2016-03-21</t>
  </si>
  <si>
    <t>E008</t>
  </si>
  <si>
    <t>Ayesha Khan</t>
  </si>
  <si>
    <t>Middle Eastern</t>
  </si>
  <si>
    <t>2020-02-18</t>
  </si>
  <si>
    <t>London</t>
  </si>
  <si>
    <t>E009</t>
  </si>
  <si>
    <t>Liam Brown</t>
  </si>
  <si>
    <t>2017-09-06</t>
  </si>
  <si>
    <t>E010</t>
  </si>
  <si>
    <t>Sophia Malik</t>
  </si>
  <si>
    <t>2020-04-15</t>
  </si>
  <si>
    <t>E011</t>
  </si>
  <si>
    <t>Emma Khan</t>
  </si>
  <si>
    <t>2018-12-05</t>
  </si>
  <si>
    <t>E012</t>
  </si>
  <si>
    <t>Noah Smith</t>
  </si>
  <si>
    <t>2018-12-27</t>
  </si>
  <si>
    <t>E013</t>
  </si>
  <si>
    <t>Ali Smith</t>
  </si>
  <si>
    <t>2021-07-17</t>
  </si>
  <si>
    <t>Calgary</t>
  </si>
  <si>
    <t>E014</t>
  </si>
  <si>
    <t>Liam Taylor</t>
  </si>
  <si>
    <t>2021-09-23</t>
  </si>
  <si>
    <t>E015</t>
  </si>
  <si>
    <t>Asian</t>
  </si>
  <si>
    <t>2020-06-26</t>
  </si>
  <si>
    <t>E016</t>
  </si>
  <si>
    <t>John Ahmed</t>
  </si>
  <si>
    <t>2025-07-22</t>
  </si>
  <si>
    <t>E017</t>
  </si>
  <si>
    <t>John Taylor</t>
  </si>
  <si>
    <t>2020-06-29</t>
  </si>
  <si>
    <t>E018</t>
  </si>
  <si>
    <t>2024-06-05</t>
  </si>
  <si>
    <t>Vancouver</t>
  </si>
  <si>
    <t>E019</t>
  </si>
  <si>
    <t>Emma Brown</t>
  </si>
  <si>
    <t>2018-02-21</t>
  </si>
  <si>
    <t>E020</t>
  </si>
  <si>
    <t>Support</t>
  </si>
  <si>
    <t>2024-03-08</t>
  </si>
  <si>
    <t>E021</t>
  </si>
  <si>
    <t>Ayesha Wilson</t>
  </si>
  <si>
    <t>2016-05-31</t>
  </si>
  <si>
    <t>E022</t>
  </si>
  <si>
    <t>2022-11-08</t>
  </si>
  <si>
    <t>E023</t>
  </si>
  <si>
    <t>Liam Wilson</t>
  </si>
  <si>
    <t>2025-08-10</t>
  </si>
  <si>
    <t>Karachi</t>
  </si>
  <si>
    <t>E024</t>
  </si>
  <si>
    <t>Ali Taylor</t>
  </si>
  <si>
    <t>2017-03-09</t>
  </si>
  <si>
    <t>E025</t>
  </si>
  <si>
    <t>Sophia Brown</t>
  </si>
  <si>
    <t>2023-06-07</t>
  </si>
  <si>
    <t>New York</t>
  </si>
  <si>
    <t>E026</t>
  </si>
  <si>
    <t>Ahmed Wilson</t>
  </si>
  <si>
    <t>2023-07-13</t>
  </si>
  <si>
    <t>E027</t>
  </si>
  <si>
    <t>Sophia Hussain</t>
  </si>
  <si>
    <t>2021-06-05</t>
  </si>
  <si>
    <t>E028</t>
  </si>
  <si>
    <t>2022-04-09</t>
  </si>
  <si>
    <t>E029</t>
  </si>
  <si>
    <t>Olivia Ahmed</t>
  </si>
  <si>
    <t>2025-12-08</t>
  </si>
  <si>
    <t>E030</t>
  </si>
  <si>
    <t>Emma Smith</t>
  </si>
  <si>
    <t>2023-03-18</t>
  </si>
  <si>
    <t>Dallas</t>
  </si>
  <si>
    <t>E031</t>
  </si>
  <si>
    <t>Ahmed Smith</t>
  </si>
  <si>
    <t>2025-04-03</t>
  </si>
  <si>
    <t>E032</t>
  </si>
  <si>
    <t>2018-11-21</t>
  </si>
  <si>
    <t>E033</t>
  </si>
  <si>
    <t>Olivia Smith</t>
  </si>
  <si>
    <t>2019-08-18</t>
  </si>
  <si>
    <t>E034</t>
  </si>
  <si>
    <t>Noah Khan</t>
  </si>
  <si>
    <t>2023-07-04</t>
  </si>
  <si>
    <t>E035</t>
  </si>
  <si>
    <t>Noah Malik</t>
  </si>
  <si>
    <t>2021-12-20</t>
  </si>
  <si>
    <t>E036</t>
  </si>
  <si>
    <t>Liam Smith</t>
  </si>
  <si>
    <t>2025-02-18</t>
  </si>
  <si>
    <t>E037</t>
  </si>
  <si>
    <t>2017-11-27</t>
  </si>
  <si>
    <t>E038</t>
  </si>
  <si>
    <t>Ayesha Brown</t>
  </si>
  <si>
    <t>2020-11-04</t>
  </si>
  <si>
    <t>E039</t>
  </si>
  <si>
    <t>2017-01-10</t>
  </si>
  <si>
    <t>E040</t>
  </si>
  <si>
    <t>Liam Ahmed</t>
  </si>
  <si>
    <t>2018-09-29</t>
  </si>
  <si>
    <t>E041</t>
  </si>
  <si>
    <t>2023-03-04</t>
  </si>
  <si>
    <t>E042</t>
  </si>
  <si>
    <t>John Malik</t>
  </si>
  <si>
    <t>2022-03-19</t>
  </si>
  <si>
    <t>E043</t>
  </si>
  <si>
    <t>2018-11-23</t>
  </si>
  <si>
    <t>E044</t>
  </si>
  <si>
    <t>Emma Taylor</t>
  </si>
  <si>
    <t>2019-08-24</t>
  </si>
  <si>
    <t>E045</t>
  </si>
  <si>
    <t>2025-08-22</t>
  </si>
  <si>
    <t>E046</t>
  </si>
  <si>
    <t>Olivia Brown</t>
  </si>
  <si>
    <t>E047</t>
  </si>
  <si>
    <t>2025-09-25</t>
  </si>
  <si>
    <t>E048</t>
  </si>
  <si>
    <t>Ali Hussain</t>
  </si>
  <si>
    <t>2016-12-21</t>
  </si>
  <si>
    <t>E049</t>
  </si>
  <si>
    <t>Sophia Wilson</t>
  </si>
  <si>
    <t>2017-08-20</t>
  </si>
  <si>
    <t>E050</t>
  </si>
  <si>
    <t>Ayesha Smith</t>
  </si>
  <si>
    <t>2025-03-28</t>
  </si>
  <si>
    <t>E051</t>
  </si>
  <si>
    <t>Ali Ahmed</t>
  </si>
  <si>
    <t>2025-05-15</t>
  </si>
  <si>
    <t>E052</t>
  </si>
  <si>
    <t>2022-12-06</t>
  </si>
  <si>
    <t>E053</t>
  </si>
  <si>
    <t>2016-04-17</t>
  </si>
  <si>
    <t>E054</t>
  </si>
  <si>
    <t>2024-10-18</t>
  </si>
  <si>
    <t>E055</t>
  </si>
  <si>
    <t>Ahmed Taylor</t>
  </si>
  <si>
    <t>2024-07-22</t>
  </si>
  <si>
    <t>E056</t>
  </si>
  <si>
    <t>Ali Brown</t>
  </si>
  <si>
    <t>2019-06-18</t>
  </si>
  <si>
    <t>E057</t>
  </si>
  <si>
    <t>Olivia Malik</t>
  </si>
  <si>
    <t>2022-10-23</t>
  </si>
  <si>
    <t>E058</t>
  </si>
  <si>
    <t>Ahmed Hussain</t>
  </si>
  <si>
    <t>2018-05-22</t>
  </si>
  <si>
    <t>E059</t>
  </si>
  <si>
    <t>Sophia Ahmed</t>
  </si>
  <si>
    <t>2025-02-03</t>
  </si>
  <si>
    <t>E060</t>
  </si>
  <si>
    <t>2019-07-30</t>
  </si>
  <si>
    <t>E061</t>
  </si>
  <si>
    <t>2021-05-09</t>
  </si>
  <si>
    <t>E062</t>
  </si>
  <si>
    <t>Ali Malik</t>
  </si>
  <si>
    <t>2022-04-26</t>
  </si>
  <si>
    <t>E063</t>
  </si>
  <si>
    <t>2018-05-29</t>
  </si>
  <si>
    <t>E064</t>
  </si>
  <si>
    <t>2016-05-24</t>
  </si>
  <si>
    <t>E065</t>
  </si>
  <si>
    <t>2018-04-15</t>
  </si>
  <si>
    <t>E066</t>
  </si>
  <si>
    <t>2019-08-31</t>
  </si>
  <si>
    <t>E067</t>
  </si>
  <si>
    <t>Ayesha Hussain</t>
  </si>
  <si>
    <t>2023-07-18</t>
  </si>
  <si>
    <t>E068</t>
  </si>
  <si>
    <t>Emma Ahmed</t>
  </si>
  <si>
    <t>2019-07-13</t>
  </si>
  <si>
    <t>E069</t>
  </si>
  <si>
    <t>2019-04-15</t>
  </si>
  <si>
    <t>E070</t>
  </si>
  <si>
    <t>Emma Malik</t>
  </si>
  <si>
    <t>2020-06-22</t>
  </si>
  <si>
    <t>E071</t>
  </si>
  <si>
    <t>Sara Brown</t>
  </si>
  <si>
    <t>2025-02-24</t>
  </si>
  <si>
    <t>E072</t>
  </si>
  <si>
    <t>2018-03-21</t>
  </si>
  <si>
    <t>E073</t>
  </si>
  <si>
    <t>2020-07-23</t>
  </si>
  <si>
    <t>E074</t>
  </si>
  <si>
    <t>2016-05-28</t>
  </si>
  <si>
    <t>E075</t>
  </si>
  <si>
    <t>2016-08-04</t>
  </si>
  <si>
    <t>E076</t>
  </si>
  <si>
    <t>2021-04-22</t>
  </si>
  <si>
    <t>E077</t>
  </si>
  <si>
    <t>Olivia Taylor</t>
  </si>
  <si>
    <t>2020-11-12</t>
  </si>
  <si>
    <t>E078</t>
  </si>
  <si>
    <t>Sara Hussain</t>
  </si>
  <si>
    <t>2016-06-22</t>
  </si>
  <si>
    <t>E079</t>
  </si>
  <si>
    <t>2025-12-15</t>
  </si>
  <si>
    <t>E080</t>
  </si>
  <si>
    <t>Sara Ahmed</t>
  </si>
  <si>
    <t>2021-02-09</t>
  </si>
  <si>
    <t>E081</t>
  </si>
  <si>
    <t>2024-12-23</t>
  </si>
  <si>
    <t>E082</t>
  </si>
  <si>
    <t>2021-11-06</t>
  </si>
  <si>
    <t>E083</t>
  </si>
  <si>
    <t>2020-10-15</t>
  </si>
  <si>
    <t>E084</t>
  </si>
  <si>
    <t>Olivia Hussain</t>
  </si>
  <si>
    <t>2022-10-18</t>
  </si>
  <si>
    <t>E085</t>
  </si>
  <si>
    <t>2023-10-22</t>
  </si>
  <si>
    <t>E086</t>
  </si>
  <si>
    <t>Ahmed Khan</t>
  </si>
  <si>
    <t>2018-08-18</t>
  </si>
  <si>
    <t>E087</t>
  </si>
  <si>
    <t>2017-05-01</t>
  </si>
  <si>
    <t>E088</t>
  </si>
  <si>
    <t>2018-10-25</t>
  </si>
  <si>
    <t>E089</t>
  </si>
  <si>
    <t>2020-07-07</t>
  </si>
  <si>
    <t>E090</t>
  </si>
  <si>
    <t>Emma Wilson</t>
  </si>
  <si>
    <t>2020-11-27</t>
  </si>
  <si>
    <t>E091</t>
  </si>
  <si>
    <t>Sara Taylor</t>
  </si>
  <si>
    <t>2022-07-15</t>
  </si>
  <si>
    <t>E092</t>
  </si>
  <si>
    <t>2025-08-03</t>
  </si>
  <si>
    <t>E093</t>
  </si>
  <si>
    <t>2020-08-04</t>
  </si>
  <si>
    <t>E094</t>
  </si>
  <si>
    <t>2018-07-11</t>
  </si>
  <si>
    <t>E095</t>
  </si>
  <si>
    <t>2018-01-26</t>
  </si>
  <si>
    <t>E096</t>
  </si>
  <si>
    <t>Sophia Taylor</t>
  </si>
  <si>
    <t>2020-08-30</t>
  </si>
  <si>
    <t>E097</t>
  </si>
  <si>
    <t>2023-07-07</t>
  </si>
  <si>
    <t>E098</t>
  </si>
  <si>
    <t>Ahmed Malik</t>
  </si>
  <si>
    <t>2022-05-12</t>
  </si>
  <si>
    <t>E099</t>
  </si>
  <si>
    <t>2020-05-21</t>
  </si>
  <si>
    <t>E100</t>
  </si>
  <si>
    <t>2020-07-03</t>
  </si>
  <si>
    <t>emp id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</si>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</sst>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33649-AB31-4E18-A2C3-74F58047B0C9}" name="Table1" displayName="Table1" ref="D104:L143" totalsRowShown="0">
  <autoFilter ref="D104:L143" xr:uid="{57F33649-AB31-4E18-A2C3-74F58047B0C9}"/>
  <tableColumns count="9">
    <tableColumn id="1" xr3:uid="{0380A6F5-0B78-4F75-8E44-8C1E58CE7D67}" name="Emp ID"/>
    <tableColumn id="2" xr3:uid="{C19B65CC-A9C2-4786-A872-9A3FE60FD38C}" name="Full name"/>
    <tableColumn id="3" xr3:uid="{757BBDB9-B9FD-45C0-A33F-F3D8879B4441}" name="Department"/>
    <tableColumn id="4" xr3:uid="{37FC7857-C85F-4EE4-9800-4B635F62B6F8}" name="Business Unit"/>
    <tableColumn id="5" xr3:uid="{2AD84E63-F1B6-488B-AD28-6D22B3BE83C3}" name="Gender"/>
    <tableColumn id="6" xr3:uid="{BCDA0BE4-6611-41C8-B961-572E379888A9}" name="Ethnicity"/>
    <tableColumn id="7" xr3:uid="{5343C563-27AE-4912-B38E-F806CCAA0C64}" name="Age"/>
    <tableColumn id="8" xr3:uid="{51754C4A-2D14-4527-93EE-DCA03D464859}" name="Hire Date"/>
    <tableColumn id="9" xr3:uid="{C2615630-4DA6-46E7-A16F-4944ADEB54C5}" name="Annual 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"/>
  <sheetViews>
    <sheetView tabSelected="1" topLeftCell="A85" workbookViewId="0">
      <selection activeCell="K89" sqref="K89"/>
    </sheetView>
  </sheetViews>
  <sheetFormatPr defaultRowHeight="14.4" x14ac:dyDescent="0.3"/>
  <cols>
    <col min="2" max="2" width="13.5546875" bestFit="1" customWidth="1"/>
    <col min="3" max="3" width="10.77734375" bestFit="1" customWidth="1"/>
    <col min="4" max="4" width="11.77734375" bestFit="1" customWidth="1"/>
    <col min="5" max="5" width="11" customWidth="1"/>
    <col min="6" max="6" width="13.21875" bestFit="1" customWidth="1"/>
    <col min="7" max="7" width="14" customWidth="1"/>
    <col min="8" max="8" width="10.33203125" bestFit="1" customWidth="1"/>
    <col min="9" max="9" width="11.88671875" bestFit="1" customWidth="1"/>
    <col min="10" max="10" width="7.77734375" bestFit="1" customWidth="1"/>
    <col min="11" max="11" width="10.6640625" bestFit="1" customWidth="1"/>
    <col min="12" max="12" width="14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49</v>
      </c>
      <c r="H2" t="s">
        <v>17</v>
      </c>
      <c r="I2">
        <v>115455</v>
      </c>
      <c r="J2" t="s">
        <v>18</v>
      </c>
      <c r="K2" t="s">
        <v>19</v>
      </c>
    </row>
    <row r="3" spans="1:15" x14ac:dyDescent="0.3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24</v>
      </c>
      <c r="G3">
        <v>27</v>
      </c>
      <c r="H3" t="s">
        <v>25</v>
      </c>
      <c r="I3">
        <v>35391</v>
      </c>
      <c r="J3" t="s">
        <v>18</v>
      </c>
      <c r="K3" t="s">
        <v>26</v>
      </c>
    </row>
    <row r="4" spans="1:15" x14ac:dyDescent="0.3">
      <c r="A4" t="s">
        <v>27</v>
      </c>
      <c r="B4" t="s">
        <v>28</v>
      </c>
      <c r="C4" t="s">
        <v>29</v>
      </c>
      <c r="D4" t="s">
        <v>23</v>
      </c>
      <c r="E4" t="s">
        <v>30</v>
      </c>
      <c r="F4" t="s">
        <v>24</v>
      </c>
      <c r="G4">
        <v>25</v>
      </c>
      <c r="H4" t="s">
        <v>31</v>
      </c>
      <c r="I4">
        <v>40393</v>
      </c>
      <c r="J4" t="s">
        <v>32</v>
      </c>
      <c r="K4" t="s">
        <v>33</v>
      </c>
    </row>
    <row r="5" spans="1:15" x14ac:dyDescent="0.3">
      <c r="A5" t="s">
        <v>34</v>
      </c>
      <c r="B5" t="s">
        <v>35</v>
      </c>
      <c r="C5" t="s">
        <v>36</v>
      </c>
      <c r="D5" t="s">
        <v>23</v>
      </c>
      <c r="E5" t="s">
        <v>30</v>
      </c>
      <c r="F5" t="s">
        <v>24</v>
      </c>
      <c r="G5">
        <v>49</v>
      </c>
      <c r="H5" t="s">
        <v>37</v>
      </c>
      <c r="I5">
        <v>93271</v>
      </c>
      <c r="J5" t="s">
        <v>38</v>
      </c>
      <c r="K5" t="s">
        <v>39</v>
      </c>
    </row>
    <row r="6" spans="1:15" x14ac:dyDescent="0.3">
      <c r="A6" t="s">
        <v>40</v>
      </c>
      <c r="B6" t="s">
        <v>41</v>
      </c>
      <c r="C6" t="s">
        <v>13</v>
      </c>
      <c r="D6" t="s">
        <v>42</v>
      </c>
      <c r="E6" t="s">
        <v>15</v>
      </c>
      <c r="F6" t="s">
        <v>43</v>
      </c>
      <c r="G6">
        <v>22</v>
      </c>
      <c r="H6" t="s">
        <v>44</v>
      </c>
      <c r="I6">
        <v>63793</v>
      </c>
      <c r="J6" t="s">
        <v>45</v>
      </c>
      <c r="K6" t="s">
        <v>46</v>
      </c>
      <c r="N6" t="s">
        <v>301</v>
      </c>
      <c r="O6" t="s">
        <v>302</v>
      </c>
    </row>
    <row r="7" spans="1:15" x14ac:dyDescent="0.3">
      <c r="A7" t="s">
        <v>47</v>
      </c>
      <c r="B7" t="s">
        <v>48</v>
      </c>
      <c r="C7" t="s">
        <v>49</v>
      </c>
      <c r="D7" t="s">
        <v>14</v>
      </c>
      <c r="E7" t="s">
        <v>30</v>
      </c>
      <c r="F7" t="s">
        <v>16</v>
      </c>
      <c r="G7">
        <v>45</v>
      </c>
      <c r="H7" t="s">
        <v>50</v>
      </c>
      <c r="I7">
        <v>110035</v>
      </c>
      <c r="J7" t="s">
        <v>32</v>
      </c>
      <c r="K7" t="s">
        <v>51</v>
      </c>
      <c r="N7" t="s">
        <v>20</v>
      </c>
      <c r="O7">
        <f>VLOOKUP(N7,A1:K101,9,FALSE)</f>
        <v>35391</v>
      </c>
    </row>
    <row r="8" spans="1:15" x14ac:dyDescent="0.3">
      <c r="A8" t="s">
        <v>52</v>
      </c>
      <c r="B8" t="s">
        <v>53</v>
      </c>
      <c r="C8" t="s">
        <v>54</v>
      </c>
      <c r="D8" t="s">
        <v>23</v>
      </c>
      <c r="E8" t="s">
        <v>30</v>
      </c>
      <c r="F8" t="s">
        <v>43</v>
      </c>
      <c r="G8">
        <v>27</v>
      </c>
      <c r="H8" t="s">
        <v>55</v>
      </c>
      <c r="I8">
        <v>80227</v>
      </c>
      <c r="J8" t="s">
        <v>38</v>
      </c>
      <c r="K8" t="s">
        <v>39</v>
      </c>
      <c r="N8" t="s">
        <v>27</v>
      </c>
      <c r="O8">
        <f>VLOOKUP(N8,A1:K101,9,FALSE)</f>
        <v>40393</v>
      </c>
    </row>
    <row r="9" spans="1:15" x14ac:dyDescent="0.3">
      <c r="A9" t="s">
        <v>56</v>
      </c>
      <c r="B9" t="s">
        <v>57</v>
      </c>
      <c r="C9" t="s">
        <v>29</v>
      </c>
      <c r="D9" t="s">
        <v>42</v>
      </c>
      <c r="E9" t="s">
        <v>30</v>
      </c>
      <c r="F9" t="s">
        <v>58</v>
      </c>
      <c r="G9">
        <v>43</v>
      </c>
      <c r="H9" t="s">
        <v>59</v>
      </c>
      <c r="I9">
        <v>77417</v>
      </c>
      <c r="J9" t="s">
        <v>18</v>
      </c>
      <c r="K9" t="s">
        <v>60</v>
      </c>
    </row>
    <row r="10" spans="1:15" x14ac:dyDescent="0.3">
      <c r="A10" t="s">
        <v>61</v>
      </c>
      <c r="B10" t="s">
        <v>62</v>
      </c>
      <c r="C10" t="s">
        <v>13</v>
      </c>
      <c r="D10" t="s">
        <v>42</v>
      </c>
      <c r="E10" t="s">
        <v>30</v>
      </c>
      <c r="F10" t="s">
        <v>58</v>
      </c>
      <c r="G10">
        <v>49</v>
      </c>
      <c r="H10" t="s">
        <v>63</v>
      </c>
      <c r="I10">
        <v>75002</v>
      </c>
      <c r="J10" t="s">
        <v>32</v>
      </c>
      <c r="K10" t="s">
        <v>33</v>
      </c>
      <c r="L10">
        <f>COUNTA(Table1[Full name])</f>
        <v>39</v>
      </c>
      <c r="O10">
        <f>VLOOKUP(A5,A1:K101,9,FALSE)</f>
        <v>93271</v>
      </c>
    </row>
    <row r="11" spans="1:15" x14ac:dyDescent="0.3">
      <c r="A11" t="s">
        <v>64</v>
      </c>
      <c r="B11" t="s">
        <v>65</v>
      </c>
      <c r="C11" t="s">
        <v>22</v>
      </c>
      <c r="D11" t="s">
        <v>23</v>
      </c>
      <c r="E11" t="s">
        <v>15</v>
      </c>
      <c r="F11" t="s">
        <v>43</v>
      </c>
      <c r="G11">
        <v>51</v>
      </c>
      <c r="H11" t="s">
        <v>66</v>
      </c>
      <c r="I11">
        <v>96221</v>
      </c>
      <c r="J11" t="s">
        <v>38</v>
      </c>
      <c r="K11" t="s">
        <v>39</v>
      </c>
    </row>
    <row r="12" spans="1:15" x14ac:dyDescent="0.3">
      <c r="A12" t="s">
        <v>67</v>
      </c>
      <c r="B12" t="s">
        <v>68</v>
      </c>
      <c r="C12" t="s">
        <v>36</v>
      </c>
      <c r="D12" t="s">
        <v>14</v>
      </c>
      <c r="E12" t="s">
        <v>30</v>
      </c>
      <c r="F12" t="s">
        <v>24</v>
      </c>
      <c r="G12">
        <v>58</v>
      </c>
      <c r="H12" t="s">
        <v>69</v>
      </c>
      <c r="I12">
        <v>79650</v>
      </c>
      <c r="J12" t="s">
        <v>18</v>
      </c>
      <c r="K12" t="s">
        <v>26</v>
      </c>
      <c r="N12">
        <v>110035</v>
      </c>
      <c r="O12">
        <f>MATCH(N12,I2:I101,0)</f>
        <v>6</v>
      </c>
    </row>
    <row r="13" spans="1:15" x14ac:dyDescent="0.3">
      <c r="A13" t="s">
        <v>70</v>
      </c>
      <c r="B13" t="s">
        <v>71</v>
      </c>
      <c r="C13" t="s">
        <v>54</v>
      </c>
      <c r="D13" t="s">
        <v>42</v>
      </c>
      <c r="E13" t="s">
        <v>30</v>
      </c>
      <c r="F13" t="s">
        <v>43</v>
      </c>
      <c r="G13">
        <v>59</v>
      </c>
      <c r="H13" t="s">
        <v>72</v>
      </c>
      <c r="I13">
        <v>86669</v>
      </c>
      <c r="J13" t="s">
        <v>32</v>
      </c>
      <c r="K13" t="s">
        <v>33</v>
      </c>
    </row>
    <row r="14" spans="1:15" x14ac:dyDescent="0.3">
      <c r="A14" t="s">
        <v>73</v>
      </c>
      <c r="B14" t="s">
        <v>74</v>
      </c>
      <c r="C14" t="s">
        <v>13</v>
      </c>
      <c r="D14" t="s">
        <v>23</v>
      </c>
      <c r="E14" t="s">
        <v>30</v>
      </c>
      <c r="F14" t="s">
        <v>24</v>
      </c>
      <c r="G14">
        <v>57</v>
      </c>
      <c r="H14" t="s">
        <v>75</v>
      </c>
      <c r="I14">
        <v>37708</v>
      </c>
      <c r="J14" t="s">
        <v>45</v>
      </c>
      <c r="K14" t="s">
        <v>76</v>
      </c>
    </row>
    <row r="15" spans="1:15" x14ac:dyDescent="0.3">
      <c r="A15" t="s">
        <v>77</v>
      </c>
      <c r="B15" t="s">
        <v>78</v>
      </c>
      <c r="C15" t="s">
        <v>54</v>
      </c>
      <c r="D15" t="s">
        <v>23</v>
      </c>
      <c r="E15" t="s">
        <v>15</v>
      </c>
      <c r="F15" t="s">
        <v>43</v>
      </c>
      <c r="G15">
        <v>57</v>
      </c>
      <c r="H15" t="s">
        <v>79</v>
      </c>
      <c r="I15">
        <v>65843</v>
      </c>
      <c r="J15" t="s">
        <v>18</v>
      </c>
      <c r="K15" t="s">
        <v>19</v>
      </c>
    </row>
    <row r="16" spans="1:15" x14ac:dyDescent="0.3">
      <c r="A16" t="s">
        <v>80</v>
      </c>
      <c r="B16" t="s">
        <v>78</v>
      </c>
      <c r="C16" t="s">
        <v>49</v>
      </c>
      <c r="D16" t="s">
        <v>42</v>
      </c>
      <c r="E16" t="s">
        <v>30</v>
      </c>
      <c r="F16" t="s">
        <v>81</v>
      </c>
      <c r="G16">
        <v>22</v>
      </c>
      <c r="H16" t="s">
        <v>82</v>
      </c>
      <c r="I16">
        <v>106394</v>
      </c>
      <c r="J16" t="s">
        <v>38</v>
      </c>
      <c r="K16" t="s">
        <v>39</v>
      </c>
      <c r="N16" t="str">
        <f>INDEX(B:B, MATCH(I7, I:I, 0))</f>
        <v>Sara Malik</v>
      </c>
    </row>
    <row r="17" spans="1:11" x14ac:dyDescent="0.3">
      <c r="A17" t="s">
        <v>83</v>
      </c>
      <c r="B17" t="s">
        <v>84</v>
      </c>
      <c r="C17" t="s">
        <v>29</v>
      </c>
      <c r="D17" t="s">
        <v>14</v>
      </c>
      <c r="E17" t="s">
        <v>30</v>
      </c>
      <c r="F17" t="s">
        <v>81</v>
      </c>
      <c r="G17">
        <v>46</v>
      </c>
      <c r="H17" t="s">
        <v>85</v>
      </c>
      <c r="I17">
        <v>103012</v>
      </c>
      <c r="J17" t="s">
        <v>32</v>
      </c>
      <c r="K17" t="s">
        <v>33</v>
      </c>
    </row>
    <row r="18" spans="1:11" x14ac:dyDescent="0.3">
      <c r="A18" t="s">
        <v>86</v>
      </c>
      <c r="B18" t="s">
        <v>87</v>
      </c>
      <c r="C18" t="s">
        <v>13</v>
      </c>
      <c r="D18" t="s">
        <v>42</v>
      </c>
      <c r="E18" t="s">
        <v>30</v>
      </c>
      <c r="F18" t="s">
        <v>43</v>
      </c>
      <c r="G18">
        <v>47</v>
      </c>
      <c r="H18" t="s">
        <v>88</v>
      </c>
      <c r="I18">
        <v>98500</v>
      </c>
      <c r="J18" t="s">
        <v>32</v>
      </c>
      <c r="K18" t="s">
        <v>51</v>
      </c>
    </row>
    <row r="19" spans="1:11" x14ac:dyDescent="0.3">
      <c r="A19" t="s">
        <v>89</v>
      </c>
      <c r="B19" t="s">
        <v>35</v>
      </c>
      <c r="C19" t="s">
        <v>49</v>
      </c>
      <c r="D19" t="s">
        <v>23</v>
      </c>
      <c r="E19" t="s">
        <v>15</v>
      </c>
      <c r="F19" t="s">
        <v>24</v>
      </c>
      <c r="G19">
        <v>42</v>
      </c>
      <c r="H19" t="s">
        <v>90</v>
      </c>
      <c r="I19">
        <v>104173</v>
      </c>
      <c r="J19" t="s">
        <v>45</v>
      </c>
      <c r="K19" t="s">
        <v>91</v>
      </c>
    </row>
    <row r="20" spans="1:11" x14ac:dyDescent="0.3">
      <c r="A20" t="s">
        <v>92</v>
      </c>
      <c r="B20" t="s">
        <v>93</v>
      </c>
      <c r="C20" t="s">
        <v>49</v>
      </c>
      <c r="D20" t="s">
        <v>23</v>
      </c>
      <c r="E20" t="s">
        <v>30</v>
      </c>
      <c r="F20" t="s">
        <v>24</v>
      </c>
      <c r="G20">
        <v>43</v>
      </c>
      <c r="H20" t="s">
        <v>94</v>
      </c>
      <c r="I20">
        <v>101008</v>
      </c>
      <c r="J20" t="s">
        <v>38</v>
      </c>
      <c r="K20" t="s">
        <v>39</v>
      </c>
    </row>
    <row r="21" spans="1:11" x14ac:dyDescent="0.3">
      <c r="A21" t="s">
        <v>95</v>
      </c>
      <c r="B21" t="s">
        <v>65</v>
      </c>
      <c r="C21" t="s">
        <v>49</v>
      </c>
      <c r="D21" t="s">
        <v>96</v>
      </c>
      <c r="E21" t="s">
        <v>30</v>
      </c>
      <c r="F21" t="s">
        <v>24</v>
      </c>
      <c r="G21">
        <v>44</v>
      </c>
      <c r="H21" t="s">
        <v>97</v>
      </c>
      <c r="I21">
        <v>74722</v>
      </c>
      <c r="J21" t="s">
        <v>45</v>
      </c>
      <c r="K21" t="s">
        <v>46</v>
      </c>
    </row>
    <row r="22" spans="1:11" x14ac:dyDescent="0.3">
      <c r="A22" t="s">
        <v>98</v>
      </c>
      <c r="B22" t="s">
        <v>99</v>
      </c>
      <c r="C22" t="s">
        <v>54</v>
      </c>
      <c r="D22" t="s">
        <v>23</v>
      </c>
      <c r="E22" t="s">
        <v>15</v>
      </c>
      <c r="F22" t="s">
        <v>81</v>
      </c>
      <c r="G22">
        <v>46</v>
      </c>
      <c r="H22" t="s">
        <v>100</v>
      </c>
      <c r="I22">
        <v>36732</v>
      </c>
      <c r="J22" t="s">
        <v>18</v>
      </c>
      <c r="K22" t="s">
        <v>60</v>
      </c>
    </row>
    <row r="23" spans="1:11" x14ac:dyDescent="0.3">
      <c r="A23" t="s">
        <v>101</v>
      </c>
      <c r="B23" t="s">
        <v>28</v>
      </c>
      <c r="C23" t="s">
        <v>36</v>
      </c>
      <c r="D23" t="s">
        <v>23</v>
      </c>
      <c r="E23" t="s">
        <v>30</v>
      </c>
      <c r="F23" t="s">
        <v>24</v>
      </c>
      <c r="G23">
        <v>22</v>
      </c>
      <c r="H23" t="s">
        <v>102</v>
      </c>
      <c r="I23">
        <v>106069</v>
      </c>
      <c r="J23" t="s">
        <v>32</v>
      </c>
      <c r="K23" t="s">
        <v>51</v>
      </c>
    </row>
    <row r="24" spans="1:11" x14ac:dyDescent="0.3">
      <c r="A24" t="s">
        <v>103</v>
      </c>
      <c r="B24" t="s">
        <v>104</v>
      </c>
      <c r="C24" t="s">
        <v>36</v>
      </c>
      <c r="D24" t="s">
        <v>23</v>
      </c>
      <c r="E24" t="s">
        <v>15</v>
      </c>
      <c r="F24" t="s">
        <v>58</v>
      </c>
      <c r="G24">
        <v>58</v>
      </c>
      <c r="H24" t="s">
        <v>105</v>
      </c>
      <c r="I24">
        <v>55897</v>
      </c>
      <c r="J24" t="s">
        <v>32</v>
      </c>
      <c r="K24" t="s">
        <v>106</v>
      </c>
    </row>
    <row r="25" spans="1:11" x14ac:dyDescent="0.3">
      <c r="A25" t="s">
        <v>107</v>
      </c>
      <c r="B25" t="s">
        <v>108</v>
      </c>
      <c r="C25" t="s">
        <v>36</v>
      </c>
      <c r="D25" t="s">
        <v>96</v>
      </c>
      <c r="E25" t="s">
        <v>30</v>
      </c>
      <c r="F25" t="s">
        <v>24</v>
      </c>
      <c r="G25">
        <v>36</v>
      </c>
      <c r="H25" t="s">
        <v>109</v>
      </c>
      <c r="I25">
        <v>76461</v>
      </c>
      <c r="J25" t="s">
        <v>32</v>
      </c>
      <c r="K25" t="s">
        <v>106</v>
      </c>
    </row>
    <row r="26" spans="1:11" x14ac:dyDescent="0.3">
      <c r="A26" t="s">
        <v>110</v>
      </c>
      <c r="B26" t="s">
        <v>111</v>
      </c>
      <c r="C26" t="s">
        <v>54</v>
      </c>
      <c r="D26" t="s">
        <v>23</v>
      </c>
      <c r="E26" t="s">
        <v>30</v>
      </c>
      <c r="F26" t="s">
        <v>81</v>
      </c>
      <c r="G26">
        <v>26</v>
      </c>
      <c r="H26" t="s">
        <v>112</v>
      </c>
      <c r="I26">
        <v>47846</v>
      </c>
      <c r="J26" t="s">
        <v>38</v>
      </c>
      <c r="K26" t="s">
        <v>113</v>
      </c>
    </row>
    <row r="27" spans="1:11" x14ac:dyDescent="0.3">
      <c r="A27" t="s">
        <v>114</v>
      </c>
      <c r="B27" t="s">
        <v>115</v>
      </c>
      <c r="C27" t="s">
        <v>54</v>
      </c>
      <c r="D27" t="s">
        <v>42</v>
      </c>
      <c r="E27" t="s">
        <v>15</v>
      </c>
      <c r="F27" t="s">
        <v>43</v>
      </c>
      <c r="G27">
        <v>32</v>
      </c>
      <c r="H27" t="s">
        <v>116</v>
      </c>
      <c r="I27">
        <v>82567</v>
      </c>
      <c r="J27" t="s">
        <v>18</v>
      </c>
      <c r="K27" t="s">
        <v>19</v>
      </c>
    </row>
    <row r="28" spans="1:11" x14ac:dyDescent="0.3">
      <c r="A28" t="s">
        <v>117</v>
      </c>
      <c r="B28" t="s">
        <v>118</v>
      </c>
      <c r="C28" t="s">
        <v>49</v>
      </c>
      <c r="D28" t="s">
        <v>23</v>
      </c>
      <c r="E28" t="s">
        <v>15</v>
      </c>
      <c r="F28" t="s">
        <v>58</v>
      </c>
      <c r="G28">
        <v>34</v>
      </c>
      <c r="H28" t="s">
        <v>119</v>
      </c>
      <c r="I28">
        <v>111990</v>
      </c>
      <c r="J28" t="s">
        <v>18</v>
      </c>
      <c r="K28" t="s">
        <v>19</v>
      </c>
    </row>
    <row r="29" spans="1:11" x14ac:dyDescent="0.3">
      <c r="A29" t="s">
        <v>120</v>
      </c>
      <c r="B29" t="s">
        <v>28</v>
      </c>
      <c r="C29" t="s">
        <v>29</v>
      </c>
      <c r="D29" t="s">
        <v>42</v>
      </c>
      <c r="E29" t="s">
        <v>30</v>
      </c>
      <c r="F29" t="s">
        <v>58</v>
      </c>
      <c r="G29">
        <v>46</v>
      </c>
      <c r="H29" t="s">
        <v>121</v>
      </c>
      <c r="I29">
        <v>58734</v>
      </c>
      <c r="J29" t="s">
        <v>18</v>
      </c>
      <c r="K29" t="s">
        <v>19</v>
      </c>
    </row>
    <row r="30" spans="1:11" x14ac:dyDescent="0.3">
      <c r="A30" t="s">
        <v>122</v>
      </c>
      <c r="B30" t="s">
        <v>123</v>
      </c>
      <c r="C30" t="s">
        <v>49</v>
      </c>
      <c r="D30" t="s">
        <v>42</v>
      </c>
      <c r="E30" t="s">
        <v>30</v>
      </c>
      <c r="F30" t="s">
        <v>43</v>
      </c>
      <c r="G30">
        <v>29</v>
      </c>
      <c r="H30" t="s">
        <v>124</v>
      </c>
      <c r="I30">
        <v>85846</v>
      </c>
      <c r="J30" t="s">
        <v>32</v>
      </c>
      <c r="K30" t="s">
        <v>106</v>
      </c>
    </row>
    <row r="31" spans="1:11" x14ac:dyDescent="0.3">
      <c r="A31" t="s">
        <v>125</v>
      </c>
      <c r="B31" t="s">
        <v>126</v>
      </c>
      <c r="C31" t="s">
        <v>36</v>
      </c>
      <c r="D31" t="s">
        <v>14</v>
      </c>
      <c r="E31" t="s">
        <v>15</v>
      </c>
      <c r="F31" t="s">
        <v>43</v>
      </c>
      <c r="G31">
        <v>58</v>
      </c>
      <c r="H31" t="s">
        <v>127</v>
      </c>
      <c r="I31">
        <v>50754</v>
      </c>
      <c r="J31" t="s">
        <v>38</v>
      </c>
      <c r="K31" t="s">
        <v>128</v>
      </c>
    </row>
    <row r="32" spans="1:11" x14ac:dyDescent="0.3">
      <c r="A32" t="s">
        <v>129</v>
      </c>
      <c r="B32" t="s">
        <v>130</v>
      </c>
      <c r="C32" t="s">
        <v>29</v>
      </c>
      <c r="D32" t="s">
        <v>23</v>
      </c>
      <c r="E32" t="s">
        <v>15</v>
      </c>
      <c r="F32" t="s">
        <v>24</v>
      </c>
      <c r="G32">
        <v>37</v>
      </c>
      <c r="H32" t="s">
        <v>131</v>
      </c>
      <c r="I32">
        <v>82257</v>
      </c>
      <c r="J32" t="s">
        <v>45</v>
      </c>
      <c r="K32" t="s">
        <v>91</v>
      </c>
    </row>
    <row r="33" spans="1:11" x14ac:dyDescent="0.3">
      <c r="A33" t="s">
        <v>132</v>
      </c>
      <c r="B33" t="s">
        <v>68</v>
      </c>
      <c r="C33" t="s">
        <v>13</v>
      </c>
      <c r="D33" t="s">
        <v>23</v>
      </c>
      <c r="E33" t="s">
        <v>30</v>
      </c>
      <c r="F33" t="s">
        <v>43</v>
      </c>
      <c r="G33">
        <v>36</v>
      </c>
      <c r="H33" t="s">
        <v>133</v>
      </c>
      <c r="I33">
        <v>98903</v>
      </c>
      <c r="J33" t="s">
        <v>18</v>
      </c>
      <c r="K33" t="s">
        <v>26</v>
      </c>
    </row>
    <row r="34" spans="1:11" x14ac:dyDescent="0.3">
      <c r="A34" t="s">
        <v>134</v>
      </c>
      <c r="B34" t="s">
        <v>135</v>
      </c>
      <c r="C34" t="s">
        <v>13</v>
      </c>
      <c r="D34" t="s">
        <v>96</v>
      </c>
      <c r="E34" t="s">
        <v>15</v>
      </c>
      <c r="F34" t="s">
        <v>43</v>
      </c>
      <c r="G34">
        <v>31</v>
      </c>
      <c r="H34" t="s">
        <v>136</v>
      </c>
      <c r="I34">
        <v>96046</v>
      </c>
      <c r="J34" t="s">
        <v>45</v>
      </c>
      <c r="K34" t="s">
        <v>76</v>
      </c>
    </row>
    <row r="35" spans="1:11" x14ac:dyDescent="0.3">
      <c r="A35" t="s">
        <v>137</v>
      </c>
      <c r="B35" t="s">
        <v>138</v>
      </c>
      <c r="C35" t="s">
        <v>49</v>
      </c>
      <c r="D35" t="s">
        <v>23</v>
      </c>
      <c r="E35" t="s">
        <v>30</v>
      </c>
      <c r="F35" t="s">
        <v>43</v>
      </c>
      <c r="G35">
        <v>42</v>
      </c>
      <c r="H35" t="s">
        <v>139</v>
      </c>
      <c r="I35">
        <v>102887</v>
      </c>
      <c r="J35" t="s">
        <v>38</v>
      </c>
      <c r="K35" t="s">
        <v>39</v>
      </c>
    </row>
    <row r="36" spans="1:11" x14ac:dyDescent="0.3">
      <c r="A36" t="s">
        <v>140</v>
      </c>
      <c r="B36" t="s">
        <v>141</v>
      </c>
      <c r="C36" t="s">
        <v>36</v>
      </c>
      <c r="D36" t="s">
        <v>23</v>
      </c>
      <c r="E36" t="s">
        <v>30</v>
      </c>
      <c r="F36" t="s">
        <v>81</v>
      </c>
      <c r="G36">
        <v>59</v>
      </c>
      <c r="H36" t="s">
        <v>142</v>
      </c>
      <c r="I36">
        <v>87108</v>
      </c>
      <c r="J36" t="s">
        <v>45</v>
      </c>
      <c r="K36" t="s">
        <v>91</v>
      </c>
    </row>
    <row r="37" spans="1:11" x14ac:dyDescent="0.3">
      <c r="A37" t="s">
        <v>143</v>
      </c>
      <c r="B37" t="s">
        <v>144</v>
      </c>
      <c r="C37" t="s">
        <v>29</v>
      </c>
      <c r="D37" t="s">
        <v>96</v>
      </c>
      <c r="E37" t="s">
        <v>30</v>
      </c>
      <c r="F37" t="s">
        <v>43</v>
      </c>
      <c r="G37">
        <v>28</v>
      </c>
      <c r="H37" t="s">
        <v>145</v>
      </c>
      <c r="I37">
        <v>104836</v>
      </c>
      <c r="J37" t="s">
        <v>38</v>
      </c>
      <c r="K37" t="s">
        <v>39</v>
      </c>
    </row>
    <row r="38" spans="1:11" x14ac:dyDescent="0.3">
      <c r="A38" t="s">
        <v>146</v>
      </c>
      <c r="B38" t="s">
        <v>123</v>
      </c>
      <c r="C38" t="s">
        <v>29</v>
      </c>
      <c r="D38" t="s">
        <v>23</v>
      </c>
      <c r="E38" t="s">
        <v>15</v>
      </c>
      <c r="F38" t="s">
        <v>81</v>
      </c>
      <c r="G38">
        <v>60</v>
      </c>
      <c r="H38" t="s">
        <v>147</v>
      </c>
      <c r="I38">
        <v>50963</v>
      </c>
      <c r="J38" t="s">
        <v>38</v>
      </c>
      <c r="K38" t="s">
        <v>39</v>
      </c>
    </row>
    <row r="39" spans="1:11" x14ac:dyDescent="0.3">
      <c r="A39" t="s">
        <v>148</v>
      </c>
      <c r="B39" t="s">
        <v>149</v>
      </c>
      <c r="C39" t="s">
        <v>22</v>
      </c>
      <c r="D39" t="s">
        <v>96</v>
      </c>
      <c r="E39" t="s">
        <v>15</v>
      </c>
      <c r="F39" t="s">
        <v>16</v>
      </c>
      <c r="G39">
        <v>31</v>
      </c>
      <c r="H39" t="s">
        <v>150</v>
      </c>
      <c r="I39">
        <v>50761</v>
      </c>
      <c r="J39" t="s">
        <v>38</v>
      </c>
      <c r="K39" t="s">
        <v>39</v>
      </c>
    </row>
    <row r="40" spans="1:11" x14ac:dyDescent="0.3">
      <c r="A40" t="s">
        <v>151</v>
      </c>
      <c r="B40" t="s">
        <v>135</v>
      </c>
      <c r="C40" t="s">
        <v>29</v>
      </c>
      <c r="D40" t="s">
        <v>14</v>
      </c>
      <c r="E40" t="s">
        <v>15</v>
      </c>
      <c r="F40" t="s">
        <v>58</v>
      </c>
      <c r="G40">
        <v>27</v>
      </c>
      <c r="H40" t="s">
        <v>152</v>
      </c>
      <c r="I40">
        <v>78330</v>
      </c>
      <c r="J40" t="s">
        <v>38</v>
      </c>
      <c r="K40" t="s">
        <v>128</v>
      </c>
    </row>
    <row r="41" spans="1:11" x14ac:dyDescent="0.3">
      <c r="A41" t="s">
        <v>153</v>
      </c>
      <c r="B41" t="s">
        <v>154</v>
      </c>
      <c r="C41" t="s">
        <v>29</v>
      </c>
      <c r="D41" t="s">
        <v>14</v>
      </c>
      <c r="E41" t="s">
        <v>30</v>
      </c>
      <c r="F41" t="s">
        <v>58</v>
      </c>
      <c r="G41">
        <v>24</v>
      </c>
      <c r="H41" t="s">
        <v>155</v>
      </c>
      <c r="I41">
        <v>55990</v>
      </c>
      <c r="J41" t="s">
        <v>32</v>
      </c>
      <c r="K41" t="s">
        <v>33</v>
      </c>
    </row>
    <row r="42" spans="1:11" x14ac:dyDescent="0.3">
      <c r="A42" t="s">
        <v>156</v>
      </c>
      <c r="B42" t="s">
        <v>111</v>
      </c>
      <c r="C42" t="s">
        <v>29</v>
      </c>
      <c r="D42" t="s">
        <v>96</v>
      </c>
      <c r="E42" t="s">
        <v>30</v>
      </c>
      <c r="F42" t="s">
        <v>58</v>
      </c>
      <c r="G42">
        <v>41</v>
      </c>
      <c r="H42" t="s">
        <v>157</v>
      </c>
      <c r="I42">
        <v>70422</v>
      </c>
      <c r="J42" t="s">
        <v>32</v>
      </c>
      <c r="K42" t="s">
        <v>33</v>
      </c>
    </row>
    <row r="43" spans="1:11" x14ac:dyDescent="0.3">
      <c r="A43" t="s">
        <v>158</v>
      </c>
      <c r="B43" t="s">
        <v>159</v>
      </c>
      <c r="C43" t="s">
        <v>13</v>
      </c>
      <c r="D43" t="s">
        <v>96</v>
      </c>
      <c r="E43" t="s">
        <v>15</v>
      </c>
      <c r="F43" t="s">
        <v>24</v>
      </c>
      <c r="G43">
        <v>41</v>
      </c>
      <c r="H43" t="s">
        <v>160</v>
      </c>
      <c r="I43">
        <v>42496</v>
      </c>
      <c r="J43" t="s">
        <v>32</v>
      </c>
      <c r="K43" t="s">
        <v>33</v>
      </c>
    </row>
    <row r="44" spans="1:11" x14ac:dyDescent="0.3">
      <c r="A44" t="s">
        <v>161</v>
      </c>
      <c r="B44" t="s">
        <v>78</v>
      </c>
      <c r="C44" t="s">
        <v>36</v>
      </c>
      <c r="D44" t="s">
        <v>23</v>
      </c>
      <c r="E44" t="s">
        <v>15</v>
      </c>
      <c r="F44" t="s">
        <v>43</v>
      </c>
      <c r="G44">
        <v>48</v>
      </c>
      <c r="H44" t="s">
        <v>162</v>
      </c>
      <c r="I44">
        <v>77886</v>
      </c>
      <c r="J44" t="s">
        <v>38</v>
      </c>
      <c r="K44" t="s">
        <v>113</v>
      </c>
    </row>
    <row r="45" spans="1:11" x14ac:dyDescent="0.3">
      <c r="A45" t="s">
        <v>163</v>
      </c>
      <c r="B45" t="s">
        <v>164</v>
      </c>
      <c r="C45" t="s">
        <v>54</v>
      </c>
      <c r="D45" t="s">
        <v>96</v>
      </c>
      <c r="E45" t="s">
        <v>15</v>
      </c>
      <c r="F45" t="s">
        <v>58</v>
      </c>
      <c r="G45">
        <v>58</v>
      </c>
      <c r="H45" t="s">
        <v>165</v>
      </c>
      <c r="I45">
        <v>105492</v>
      </c>
      <c r="J45" t="s">
        <v>45</v>
      </c>
      <c r="K45" t="s">
        <v>91</v>
      </c>
    </row>
    <row r="46" spans="1:11" x14ac:dyDescent="0.3">
      <c r="A46" t="s">
        <v>166</v>
      </c>
      <c r="B46" t="s">
        <v>84</v>
      </c>
      <c r="C46" t="s">
        <v>54</v>
      </c>
      <c r="D46" t="s">
        <v>96</v>
      </c>
      <c r="E46" t="s">
        <v>30</v>
      </c>
      <c r="F46" t="s">
        <v>16</v>
      </c>
      <c r="G46">
        <v>43</v>
      </c>
      <c r="H46" t="s">
        <v>167</v>
      </c>
      <c r="I46">
        <v>86820</v>
      </c>
      <c r="J46" t="s">
        <v>32</v>
      </c>
      <c r="K46" t="s">
        <v>106</v>
      </c>
    </row>
    <row r="47" spans="1:11" x14ac:dyDescent="0.3">
      <c r="A47" t="s">
        <v>168</v>
      </c>
      <c r="B47" t="s">
        <v>169</v>
      </c>
      <c r="C47" t="s">
        <v>29</v>
      </c>
      <c r="D47" t="s">
        <v>42</v>
      </c>
      <c r="E47" t="s">
        <v>30</v>
      </c>
      <c r="F47" t="s">
        <v>58</v>
      </c>
      <c r="G47">
        <v>46</v>
      </c>
      <c r="H47" t="s">
        <v>31</v>
      </c>
      <c r="I47">
        <v>65984</v>
      </c>
      <c r="J47" t="s">
        <v>32</v>
      </c>
      <c r="K47" t="s">
        <v>51</v>
      </c>
    </row>
    <row r="48" spans="1:11" x14ac:dyDescent="0.3">
      <c r="A48" t="s">
        <v>170</v>
      </c>
      <c r="B48" t="s">
        <v>111</v>
      </c>
      <c r="C48" t="s">
        <v>22</v>
      </c>
      <c r="D48" t="s">
        <v>23</v>
      </c>
      <c r="E48" t="s">
        <v>15</v>
      </c>
      <c r="F48" t="s">
        <v>43</v>
      </c>
      <c r="G48">
        <v>46</v>
      </c>
      <c r="H48" t="s">
        <v>171</v>
      </c>
      <c r="I48">
        <v>70756</v>
      </c>
      <c r="J48" t="s">
        <v>18</v>
      </c>
      <c r="K48" t="s">
        <v>26</v>
      </c>
    </row>
    <row r="49" spans="1:11" x14ac:dyDescent="0.3">
      <c r="A49" t="s">
        <v>172</v>
      </c>
      <c r="B49" t="s">
        <v>173</v>
      </c>
      <c r="C49" t="s">
        <v>36</v>
      </c>
      <c r="D49" t="s">
        <v>42</v>
      </c>
      <c r="E49" t="s">
        <v>30</v>
      </c>
      <c r="F49" t="s">
        <v>43</v>
      </c>
      <c r="G49">
        <v>53</v>
      </c>
      <c r="H49" t="s">
        <v>174</v>
      </c>
      <c r="I49">
        <v>40007</v>
      </c>
      <c r="J49" t="s">
        <v>18</v>
      </c>
      <c r="K49" t="s">
        <v>26</v>
      </c>
    </row>
    <row r="50" spans="1:11" x14ac:dyDescent="0.3">
      <c r="A50" t="s">
        <v>175</v>
      </c>
      <c r="B50" t="s">
        <v>176</v>
      </c>
      <c r="C50" t="s">
        <v>13</v>
      </c>
      <c r="D50" t="s">
        <v>14</v>
      </c>
      <c r="E50" t="s">
        <v>15</v>
      </c>
      <c r="F50" t="s">
        <v>58</v>
      </c>
      <c r="G50">
        <v>56</v>
      </c>
      <c r="H50" t="s">
        <v>177</v>
      </c>
      <c r="I50">
        <v>74014</v>
      </c>
      <c r="J50" t="s">
        <v>38</v>
      </c>
      <c r="K50" t="s">
        <v>113</v>
      </c>
    </row>
    <row r="51" spans="1:11" x14ac:dyDescent="0.3">
      <c r="A51" t="s">
        <v>178</v>
      </c>
      <c r="B51" t="s">
        <v>179</v>
      </c>
      <c r="C51" t="s">
        <v>22</v>
      </c>
      <c r="D51" t="s">
        <v>23</v>
      </c>
      <c r="E51" t="s">
        <v>15</v>
      </c>
      <c r="F51" t="s">
        <v>58</v>
      </c>
      <c r="G51">
        <v>32</v>
      </c>
      <c r="H51" t="s">
        <v>180</v>
      </c>
      <c r="I51">
        <v>30217</v>
      </c>
      <c r="J51" t="s">
        <v>32</v>
      </c>
      <c r="K51" t="s">
        <v>33</v>
      </c>
    </row>
    <row r="52" spans="1:11" x14ac:dyDescent="0.3">
      <c r="A52" t="s">
        <v>181</v>
      </c>
      <c r="B52" t="s">
        <v>182</v>
      </c>
      <c r="C52" t="s">
        <v>13</v>
      </c>
      <c r="D52" t="s">
        <v>96</v>
      </c>
      <c r="E52" t="s">
        <v>15</v>
      </c>
      <c r="F52" t="s">
        <v>43</v>
      </c>
      <c r="G52">
        <v>57</v>
      </c>
      <c r="H52" t="s">
        <v>183</v>
      </c>
      <c r="I52">
        <v>76041</v>
      </c>
      <c r="J52" t="s">
        <v>32</v>
      </c>
      <c r="K52" t="s">
        <v>33</v>
      </c>
    </row>
    <row r="53" spans="1:11" x14ac:dyDescent="0.3">
      <c r="A53" t="s">
        <v>184</v>
      </c>
      <c r="B53" t="s">
        <v>149</v>
      </c>
      <c r="C53" t="s">
        <v>54</v>
      </c>
      <c r="D53" t="s">
        <v>23</v>
      </c>
      <c r="E53" t="s">
        <v>30</v>
      </c>
      <c r="F53" t="s">
        <v>58</v>
      </c>
      <c r="G53">
        <v>59</v>
      </c>
      <c r="H53" t="s">
        <v>185</v>
      </c>
      <c r="I53">
        <v>30378</v>
      </c>
      <c r="J53" t="s">
        <v>32</v>
      </c>
      <c r="K53" t="s">
        <v>51</v>
      </c>
    </row>
    <row r="54" spans="1:11" x14ac:dyDescent="0.3">
      <c r="A54" t="s">
        <v>186</v>
      </c>
      <c r="B54" t="s">
        <v>149</v>
      </c>
      <c r="C54" t="s">
        <v>49</v>
      </c>
      <c r="D54" t="s">
        <v>96</v>
      </c>
      <c r="E54" t="s">
        <v>30</v>
      </c>
      <c r="F54" t="s">
        <v>58</v>
      </c>
      <c r="G54">
        <v>57</v>
      </c>
      <c r="H54" t="s">
        <v>187</v>
      </c>
      <c r="I54">
        <v>79917</v>
      </c>
      <c r="J54" t="s">
        <v>38</v>
      </c>
      <c r="K54" t="s">
        <v>39</v>
      </c>
    </row>
    <row r="55" spans="1:11" x14ac:dyDescent="0.3">
      <c r="A55" t="s">
        <v>188</v>
      </c>
      <c r="B55" t="s">
        <v>71</v>
      </c>
      <c r="C55" t="s">
        <v>54</v>
      </c>
      <c r="D55" t="s">
        <v>96</v>
      </c>
      <c r="E55" t="s">
        <v>15</v>
      </c>
      <c r="F55" t="s">
        <v>16</v>
      </c>
      <c r="G55">
        <v>29</v>
      </c>
      <c r="H55" t="s">
        <v>189</v>
      </c>
      <c r="I55">
        <v>103712</v>
      </c>
      <c r="J55" t="s">
        <v>18</v>
      </c>
      <c r="K55" t="s">
        <v>60</v>
      </c>
    </row>
    <row r="56" spans="1:11" x14ac:dyDescent="0.3">
      <c r="A56" t="s">
        <v>190</v>
      </c>
      <c r="B56" t="s">
        <v>191</v>
      </c>
      <c r="C56" t="s">
        <v>13</v>
      </c>
      <c r="D56" t="s">
        <v>14</v>
      </c>
      <c r="E56" t="s">
        <v>15</v>
      </c>
      <c r="F56" t="s">
        <v>58</v>
      </c>
      <c r="G56">
        <v>36</v>
      </c>
      <c r="H56" t="s">
        <v>192</v>
      </c>
      <c r="I56">
        <v>99136</v>
      </c>
      <c r="J56" t="s">
        <v>38</v>
      </c>
      <c r="K56" t="s">
        <v>39</v>
      </c>
    </row>
    <row r="57" spans="1:11" x14ac:dyDescent="0.3">
      <c r="A57" t="s">
        <v>193</v>
      </c>
      <c r="B57" t="s">
        <v>194</v>
      </c>
      <c r="C57" t="s">
        <v>13</v>
      </c>
      <c r="D57" t="s">
        <v>23</v>
      </c>
      <c r="E57" t="s">
        <v>30</v>
      </c>
      <c r="F57" t="s">
        <v>24</v>
      </c>
      <c r="G57">
        <v>49</v>
      </c>
      <c r="H57" t="s">
        <v>195</v>
      </c>
      <c r="I57">
        <v>60609</v>
      </c>
      <c r="J57" t="s">
        <v>45</v>
      </c>
      <c r="K57" t="s">
        <v>76</v>
      </c>
    </row>
    <row r="58" spans="1:11" x14ac:dyDescent="0.3">
      <c r="A58" t="s">
        <v>196</v>
      </c>
      <c r="B58" t="s">
        <v>197</v>
      </c>
      <c r="C58" t="s">
        <v>29</v>
      </c>
      <c r="D58" t="s">
        <v>23</v>
      </c>
      <c r="E58" t="s">
        <v>30</v>
      </c>
      <c r="F58" t="s">
        <v>58</v>
      </c>
      <c r="G58">
        <v>37</v>
      </c>
      <c r="H58" t="s">
        <v>198</v>
      </c>
      <c r="I58">
        <v>48111</v>
      </c>
      <c r="J58" t="s">
        <v>45</v>
      </c>
      <c r="K58" t="s">
        <v>76</v>
      </c>
    </row>
    <row r="59" spans="1:11" x14ac:dyDescent="0.3">
      <c r="A59" t="s">
        <v>199</v>
      </c>
      <c r="B59" t="s">
        <v>200</v>
      </c>
      <c r="C59" t="s">
        <v>13</v>
      </c>
      <c r="D59" t="s">
        <v>23</v>
      </c>
      <c r="E59" t="s">
        <v>15</v>
      </c>
      <c r="F59" t="s">
        <v>24</v>
      </c>
      <c r="G59">
        <v>35</v>
      </c>
      <c r="H59" t="s">
        <v>201</v>
      </c>
      <c r="I59">
        <v>65895</v>
      </c>
      <c r="J59" t="s">
        <v>18</v>
      </c>
      <c r="K59" t="s">
        <v>26</v>
      </c>
    </row>
    <row r="60" spans="1:11" x14ac:dyDescent="0.3">
      <c r="A60" t="s">
        <v>202</v>
      </c>
      <c r="B60" t="s">
        <v>203</v>
      </c>
      <c r="C60" t="s">
        <v>13</v>
      </c>
      <c r="D60" t="s">
        <v>14</v>
      </c>
      <c r="E60" t="s">
        <v>30</v>
      </c>
      <c r="F60" t="s">
        <v>58</v>
      </c>
      <c r="G60">
        <v>22</v>
      </c>
      <c r="H60" t="s">
        <v>204</v>
      </c>
      <c r="I60">
        <v>44010</v>
      </c>
      <c r="J60" t="s">
        <v>32</v>
      </c>
      <c r="K60" t="s">
        <v>33</v>
      </c>
    </row>
    <row r="61" spans="1:11" x14ac:dyDescent="0.3">
      <c r="A61" t="s">
        <v>205</v>
      </c>
      <c r="B61" t="s">
        <v>123</v>
      </c>
      <c r="C61" t="s">
        <v>13</v>
      </c>
      <c r="D61" t="s">
        <v>42</v>
      </c>
      <c r="E61" t="s">
        <v>15</v>
      </c>
      <c r="F61" t="s">
        <v>81</v>
      </c>
      <c r="G61">
        <v>39</v>
      </c>
      <c r="H61" t="s">
        <v>206</v>
      </c>
      <c r="I61">
        <v>33459</v>
      </c>
      <c r="J61" t="s">
        <v>32</v>
      </c>
      <c r="K61" t="s">
        <v>33</v>
      </c>
    </row>
    <row r="62" spans="1:11" x14ac:dyDescent="0.3">
      <c r="A62" t="s">
        <v>207</v>
      </c>
      <c r="B62" t="s">
        <v>197</v>
      </c>
      <c r="C62" t="s">
        <v>29</v>
      </c>
      <c r="D62" t="s">
        <v>96</v>
      </c>
      <c r="E62" t="s">
        <v>15</v>
      </c>
      <c r="F62" t="s">
        <v>58</v>
      </c>
      <c r="G62">
        <v>55</v>
      </c>
      <c r="H62" t="s">
        <v>208</v>
      </c>
      <c r="I62">
        <v>94533</v>
      </c>
      <c r="J62" t="s">
        <v>45</v>
      </c>
      <c r="K62" t="s">
        <v>91</v>
      </c>
    </row>
    <row r="63" spans="1:11" x14ac:dyDescent="0.3">
      <c r="A63" t="s">
        <v>209</v>
      </c>
      <c r="B63" t="s">
        <v>210</v>
      </c>
      <c r="C63" t="s">
        <v>49</v>
      </c>
      <c r="D63" t="s">
        <v>14</v>
      </c>
      <c r="E63" t="s">
        <v>15</v>
      </c>
      <c r="F63" t="s">
        <v>43</v>
      </c>
      <c r="G63">
        <v>47</v>
      </c>
      <c r="H63" t="s">
        <v>211</v>
      </c>
      <c r="I63">
        <v>53689</v>
      </c>
      <c r="J63" t="s">
        <v>18</v>
      </c>
      <c r="K63" t="s">
        <v>19</v>
      </c>
    </row>
    <row r="64" spans="1:11" x14ac:dyDescent="0.3">
      <c r="A64" t="s">
        <v>212</v>
      </c>
      <c r="B64" t="s">
        <v>135</v>
      </c>
      <c r="C64" t="s">
        <v>54</v>
      </c>
      <c r="D64" t="s">
        <v>14</v>
      </c>
      <c r="E64" t="s">
        <v>15</v>
      </c>
      <c r="F64" t="s">
        <v>16</v>
      </c>
      <c r="G64">
        <v>48</v>
      </c>
      <c r="H64" t="s">
        <v>213</v>
      </c>
      <c r="I64">
        <v>39039</v>
      </c>
      <c r="J64" t="s">
        <v>38</v>
      </c>
      <c r="K64" t="s">
        <v>128</v>
      </c>
    </row>
    <row r="65" spans="1:11" x14ac:dyDescent="0.3">
      <c r="A65" t="s">
        <v>214</v>
      </c>
      <c r="B65" t="s">
        <v>130</v>
      </c>
      <c r="C65" t="s">
        <v>49</v>
      </c>
      <c r="D65" t="s">
        <v>96</v>
      </c>
      <c r="E65" t="s">
        <v>30</v>
      </c>
      <c r="F65" t="s">
        <v>43</v>
      </c>
      <c r="G65">
        <v>32</v>
      </c>
      <c r="H65" t="s">
        <v>215</v>
      </c>
      <c r="I65">
        <v>70152</v>
      </c>
      <c r="J65" t="s">
        <v>32</v>
      </c>
      <c r="K65" t="s">
        <v>106</v>
      </c>
    </row>
    <row r="66" spans="1:11" x14ac:dyDescent="0.3">
      <c r="A66" t="s">
        <v>216</v>
      </c>
      <c r="B66" t="s">
        <v>99</v>
      </c>
      <c r="C66" t="s">
        <v>22</v>
      </c>
      <c r="D66" t="s">
        <v>42</v>
      </c>
      <c r="E66" t="s">
        <v>30</v>
      </c>
      <c r="F66" t="s">
        <v>81</v>
      </c>
      <c r="G66">
        <v>37</v>
      </c>
      <c r="H66" t="s">
        <v>217</v>
      </c>
      <c r="I66">
        <v>97473</v>
      </c>
      <c r="J66" t="s">
        <v>38</v>
      </c>
      <c r="K66" t="s">
        <v>128</v>
      </c>
    </row>
    <row r="67" spans="1:11" x14ac:dyDescent="0.3">
      <c r="A67" t="s">
        <v>218</v>
      </c>
      <c r="B67" t="s">
        <v>197</v>
      </c>
      <c r="C67" t="s">
        <v>36</v>
      </c>
      <c r="D67" t="s">
        <v>42</v>
      </c>
      <c r="E67" t="s">
        <v>30</v>
      </c>
      <c r="F67" t="s">
        <v>24</v>
      </c>
      <c r="G67">
        <v>47</v>
      </c>
      <c r="H67" t="s">
        <v>219</v>
      </c>
      <c r="I67">
        <v>56426</v>
      </c>
      <c r="J67" t="s">
        <v>18</v>
      </c>
      <c r="K67" t="s">
        <v>26</v>
      </c>
    </row>
    <row r="68" spans="1:11" x14ac:dyDescent="0.3">
      <c r="A68" t="s">
        <v>220</v>
      </c>
      <c r="B68" t="s">
        <v>221</v>
      </c>
      <c r="C68" t="s">
        <v>49</v>
      </c>
      <c r="D68" t="s">
        <v>96</v>
      </c>
      <c r="E68" t="s">
        <v>15</v>
      </c>
      <c r="F68" t="s">
        <v>43</v>
      </c>
      <c r="G68">
        <v>36</v>
      </c>
      <c r="H68" t="s">
        <v>222</v>
      </c>
      <c r="I68">
        <v>73250</v>
      </c>
      <c r="J68" t="s">
        <v>38</v>
      </c>
      <c r="K68" t="s">
        <v>113</v>
      </c>
    </row>
    <row r="69" spans="1:11" x14ac:dyDescent="0.3">
      <c r="A69" t="s">
        <v>223</v>
      </c>
      <c r="B69" t="s">
        <v>224</v>
      </c>
      <c r="C69" t="s">
        <v>22</v>
      </c>
      <c r="D69" t="s">
        <v>96</v>
      </c>
      <c r="E69" t="s">
        <v>30</v>
      </c>
      <c r="F69" t="s">
        <v>24</v>
      </c>
      <c r="G69">
        <v>27</v>
      </c>
      <c r="H69" t="s">
        <v>225</v>
      </c>
      <c r="I69">
        <v>99555</v>
      </c>
      <c r="J69" t="s">
        <v>45</v>
      </c>
      <c r="K69" t="s">
        <v>76</v>
      </c>
    </row>
    <row r="70" spans="1:11" x14ac:dyDescent="0.3">
      <c r="A70" t="s">
        <v>226</v>
      </c>
      <c r="B70" t="s">
        <v>108</v>
      </c>
      <c r="C70" t="s">
        <v>54</v>
      </c>
      <c r="D70" t="s">
        <v>23</v>
      </c>
      <c r="E70" t="s">
        <v>30</v>
      </c>
      <c r="F70" t="s">
        <v>81</v>
      </c>
      <c r="G70">
        <v>51</v>
      </c>
      <c r="H70" t="s">
        <v>227</v>
      </c>
      <c r="I70">
        <v>103140</v>
      </c>
      <c r="J70" t="s">
        <v>18</v>
      </c>
      <c r="K70" t="s">
        <v>60</v>
      </c>
    </row>
    <row r="71" spans="1:11" x14ac:dyDescent="0.3">
      <c r="A71" t="s">
        <v>228</v>
      </c>
      <c r="B71" t="s">
        <v>229</v>
      </c>
      <c r="C71" t="s">
        <v>22</v>
      </c>
      <c r="D71" t="s">
        <v>96</v>
      </c>
      <c r="E71" t="s">
        <v>30</v>
      </c>
      <c r="F71" t="s">
        <v>16</v>
      </c>
      <c r="G71">
        <v>47</v>
      </c>
      <c r="H71" t="s">
        <v>230</v>
      </c>
      <c r="I71">
        <v>34039</v>
      </c>
      <c r="J71" t="s">
        <v>32</v>
      </c>
      <c r="K71" t="s">
        <v>33</v>
      </c>
    </row>
    <row r="72" spans="1:11" x14ac:dyDescent="0.3">
      <c r="A72" t="s">
        <v>231</v>
      </c>
      <c r="B72" t="s">
        <v>232</v>
      </c>
      <c r="C72" t="s">
        <v>54</v>
      </c>
      <c r="D72" t="s">
        <v>96</v>
      </c>
      <c r="E72" t="s">
        <v>15</v>
      </c>
      <c r="F72" t="s">
        <v>81</v>
      </c>
      <c r="G72">
        <v>57</v>
      </c>
      <c r="H72" t="s">
        <v>233</v>
      </c>
      <c r="I72">
        <v>80444</v>
      </c>
      <c r="J72" t="s">
        <v>45</v>
      </c>
      <c r="K72" t="s">
        <v>76</v>
      </c>
    </row>
    <row r="73" spans="1:11" x14ac:dyDescent="0.3">
      <c r="A73" t="s">
        <v>234</v>
      </c>
      <c r="B73" t="s">
        <v>159</v>
      </c>
      <c r="C73" t="s">
        <v>49</v>
      </c>
      <c r="D73" t="s">
        <v>42</v>
      </c>
      <c r="E73" t="s">
        <v>15</v>
      </c>
      <c r="F73" t="s">
        <v>16</v>
      </c>
      <c r="G73">
        <v>30</v>
      </c>
      <c r="H73" t="s">
        <v>235</v>
      </c>
      <c r="I73">
        <v>47192</v>
      </c>
      <c r="J73" t="s">
        <v>45</v>
      </c>
      <c r="K73" t="s">
        <v>76</v>
      </c>
    </row>
    <row r="74" spans="1:11" x14ac:dyDescent="0.3">
      <c r="A74" t="s">
        <v>236</v>
      </c>
      <c r="B74" t="s">
        <v>135</v>
      </c>
      <c r="C74" t="s">
        <v>22</v>
      </c>
      <c r="D74" t="s">
        <v>14</v>
      </c>
      <c r="E74" t="s">
        <v>15</v>
      </c>
      <c r="F74" t="s">
        <v>24</v>
      </c>
      <c r="G74">
        <v>42</v>
      </c>
      <c r="H74" t="s">
        <v>237</v>
      </c>
      <c r="I74">
        <v>57706</v>
      </c>
      <c r="J74" t="s">
        <v>18</v>
      </c>
      <c r="K74" t="s">
        <v>26</v>
      </c>
    </row>
    <row r="75" spans="1:11" x14ac:dyDescent="0.3">
      <c r="A75" t="s">
        <v>238</v>
      </c>
      <c r="B75" t="s">
        <v>35</v>
      </c>
      <c r="C75" t="s">
        <v>54</v>
      </c>
      <c r="D75" t="s">
        <v>96</v>
      </c>
      <c r="E75" t="s">
        <v>30</v>
      </c>
      <c r="F75" t="s">
        <v>43</v>
      </c>
      <c r="G75">
        <v>34</v>
      </c>
      <c r="H75" t="s">
        <v>239</v>
      </c>
      <c r="I75">
        <v>91979</v>
      </c>
      <c r="J75" t="s">
        <v>18</v>
      </c>
      <c r="K75" t="s">
        <v>60</v>
      </c>
    </row>
    <row r="76" spans="1:11" x14ac:dyDescent="0.3">
      <c r="A76" t="s">
        <v>240</v>
      </c>
      <c r="B76" t="s">
        <v>232</v>
      </c>
      <c r="C76" t="s">
        <v>29</v>
      </c>
      <c r="D76" t="s">
        <v>96</v>
      </c>
      <c r="E76" t="s">
        <v>15</v>
      </c>
      <c r="F76" t="s">
        <v>43</v>
      </c>
      <c r="G76">
        <v>27</v>
      </c>
      <c r="H76" t="s">
        <v>241</v>
      </c>
      <c r="I76">
        <v>88785</v>
      </c>
      <c r="J76" t="s">
        <v>38</v>
      </c>
      <c r="K76" t="s">
        <v>128</v>
      </c>
    </row>
    <row r="77" spans="1:11" x14ac:dyDescent="0.3">
      <c r="A77" t="s">
        <v>242</v>
      </c>
      <c r="B77" t="s">
        <v>176</v>
      </c>
      <c r="C77" t="s">
        <v>13</v>
      </c>
      <c r="D77" t="s">
        <v>42</v>
      </c>
      <c r="E77" t="s">
        <v>15</v>
      </c>
      <c r="F77" t="s">
        <v>43</v>
      </c>
      <c r="G77">
        <v>36</v>
      </c>
      <c r="H77" t="s">
        <v>243</v>
      </c>
      <c r="I77">
        <v>46996</v>
      </c>
      <c r="J77" t="s">
        <v>45</v>
      </c>
      <c r="K77" t="s">
        <v>91</v>
      </c>
    </row>
    <row r="78" spans="1:11" x14ac:dyDescent="0.3">
      <c r="A78" t="s">
        <v>244</v>
      </c>
      <c r="B78" t="s">
        <v>245</v>
      </c>
      <c r="C78" t="s">
        <v>22</v>
      </c>
      <c r="D78" t="s">
        <v>42</v>
      </c>
      <c r="E78" t="s">
        <v>30</v>
      </c>
      <c r="F78" t="s">
        <v>58</v>
      </c>
      <c r="G78">
        <v>55</v>
      </c>
      <c r="H78" t="s">
        <v>246</v>
      </c>
      <c r="I78">
        <v>53901</v>
      </c>
      <c r="J78" t="s">
        <v>18</v>
      </c>
      <c r="K78" t="s">
        <v>19</v>
      </c>
    </row>
    <row r="79" spans="1:11" x14ac:dyDescent="0.3">
      <c r="A79" t="s">
        <v>247</v>
      </c>
      <c r="B79" t="s">
        <v>248</v>
      </c>
      <c r="C79" t="s">
        <v>13</v>
      </c>
      <c r="D79" t="s">
        <v>42</v>
      </c>
      <c r="E79" t="s">
        <v>30</v>
      </c>
      <c r="F79" t="s">
        <v>43</v>
      </c>
      <c r="G79">
        <v>45</v>
      </c>
      <c r="H79" t="s">
        <v>249</v>
      </c>
      <c r="I79">
        <v>110765</v>
      </c>
      <c r="J79" t="s">
        <v>38</v>
      </c>
      <c r="K79" t="s">
        <v>128</v>
      </c>
    </row>
    <row r="80" spans="1:11" x14ac:dyDescent="0.3">
      <c r="A80" t="s">
        <v>250</v>
      </c>
      <c r="B80" t="s">
        <v>179</v>
      </c>
      <c r="C80" t="s">
        <v>13</v>
      </c>
      <c r="D80" t="s">
        <v>14</v>
      </c>
      <c r="E80" t="s">
        <v>30</v>
      </c>
      <c r="F80" t="s">
        <v>43</v>
      </c>
      <c r="G80">
        <v>38</v>
      </c>
      <c r="H80" t="s">
        <v>251</v>
      </c>
      <c r="I80">
        <v>42147</v>
      </c>
      <c r="J80" t="s">
        <v>32</v>
      </c>
      <c r="K80" t="s">
        <v>33</v>
      </c>
    </row>
    <row r="81" spans="1:11" x14ac:dyDescent="0.3">
      <c r="A81" t="s">
        <v>252</v>
      </c>
      <c r="B81" t="s">
        <v>253</v>
      </c>
      <c r="C81" t="s">
        <v>22</v>
      </c>
      <c r="D81" t="s">
        <v>23</v>
      </c>
      <c r="E81" t="s">
        <v>15</v>
      </c>
      <c r="F81" t="s">
        <v>16</v>
      </c>
      <c r="G81">
        <v>43</v>
      </c>
      <c r="H81" t="s">
        <v>254</v>
      </c>
      <c r="I81">
        <v>40704</v>
      </c>
      <c r="J81" t="s">
        <v>32</v>
      </c>
      <c r="K81" t="s">
        <v>106</v>
      </c>
    </row>
    <row r="82" spans="1:11" x14ac:dyDescent="0.3">
      <c r="A82" t="s">
        <v>255</v>
      </c>
      <c r="B82" t="s">
        <v>179</v>
      </c>
      <c r="C82" t="s">
        <v>54</v>
      </c>
      <c r="D82" t="s">
        <v>14</v>
      </c>
      <c r="E82" t="s">
        <v>15</v>
      </c>
      <c r="F82" t="s">
        <v>43</v>
      </c>
      <c r="G82">
        <v>55</v>
      </c>
      <c r="H82" t="s">
        <v>256</v>
      </c>
      <c r="I82">
        <v>78720</v>
      </c>
      <c r="J82" t="s">
        <v>18</v>
      </c>
      <c r="K82" t="s">
        <v>26</v>
      </c>
    </row>
    <row r="83" spans="1:11" x14ac:dyDescent="0.3">
      <c r="A83" t="s">
        <v>257</v>
      </c>
      <c r="B83" t="s">
        <v>149</v>
      </c>
      <c r="C83" t="s">
        <v>54</v>
      </c>
      <c r="D83" t="s">
        <v>23</v>
      </c>
      <c r="E83" t="s">
        <v>30</v>
      </c>
      <c r="F83" t="s">
        <v>58</v>
      </c>
      <c r="G83">
        <v>32</v>
      </c>
      <c r="H83" t="s">
        <v>258</v>
      </c>
      <c r="I83">
        <v>30369</v>
      </c>
      <c r="J83" t="s">
        <v>45</v>
      </c>
      <c r="K83" t="s">
        <v>46</v>
      </c>
    </row>
    <row r="84" spans="1:11" x14ac:dyDescent="0.3">
      <c r="A84" t="s">
        <v>259</v>
      </c>
      <c r="B84" t="s">
        <v>99</v>
      </c>
      <c r="C84" t="s">
        <v>22</v>
      </c>
      <c r="D84" t="s">
        <v>14</v>
      </c>
      <c r="E84" t="s">
        <v>30</v>
      </c>
      <c r="F84" t="s">
        <v>58</v>
      </c>
      <c r="G84">
        <v>28</v>
      </c>
      <c r="H84" t="s">
        <v>260</v>
      </c>
      <c r="I84">
        <v>60345</v>
      </c>
      <c r="J84" t="s">
        <v>18</v>
      </c>
      <c r="K84" t="s">
        <v>60</v>
      </c>
    </row>
    <row r="85" spans="1:11" x14ac:dyDescent="0.3">
      <c r="A85" t="s">
        <v>261</v>
      </c>
      <c r="B85" t="s">
        <v>262</v>
      </c>
      <c r="C85" t="s">
        <v>13</v>
      </c>
      <c r="D85" t="s">
        <v>14</v>
      </c>
      <c r="E85" t="s">
        <v>15</v>
      </c>
      <c r="F85" t="s">
        <v>81</v>
      </c>
      <c r="G85">
        <v>38</v>
      </c>
      <c r="H85" t="s">
        <v>263</v>
      </c>
      <c r="I85">
        <v>68923</v>
      </c>
      <c r="J85" t="s">
        <v>38</v>
      </c>
      <c r="K85" t="s">
        <v>113</v>
      </c>
    </row>
    <row r="86" spans="1:11" x14ac:dyDescent="0.3">
      <c r="A86" t="s">
        <v>264</v>
      </c>
      <c r="B86" t="s">
        <v>57</v>
      </c>
      <c r="C86" t="s">
        <v>54</v>
      </c>
      <c r="D86" t="s">
        <v>14</v>
      </c>
      <c r="E86" t="s">
        <v>15</v>
      </c>
      <c r="F86" t="s">
        <v>43</v>
      </c>
      <c r="G86">
        <v>23</v>
      </c>
      <c r="H86" t="s">
        <v>265</v>
      </c>
      <c r="I86">
        <v>110063</v>
      </c>
      <c r="J86" t="s">
        <v>38</v>
      </c>
      <c r="K86" t="s">
        <v>113</v>
      </c>
    </row>
    <row r="87" spans="1:11" x14ac:dyDescent="0.3">
      <c r="A87" t="s">
        <v>266</v>
      </c>
      <c r="B87" t="s">
        <v>267</v>
      </c>
      <c r="C87" t="s">
        <v>22</v>
      </c>
      <c r="D87" t="s">
        <v>42</v>
      </c>
      <c r="E87" t="s">
        <v>30</v>
      </c>
      <c r="F87" t="s">
        <v>81</v>
      </c>
      <c r="G87">
        <v>24</v>
      </c>
      <c r="H87" t="s">
        <v>268</v>
      </c>
      <c r="I87">
        <v>41546</v>
      </c>
      <c r="J87" t="s">
        <v>18</v>
      </c>
      <c r="K87" t="s">
        <v>19</v>
      </c>
    </row>
    <row r="88" spans="1:11" x14ac:dyDescent="0.3">
      <c r="A88" t="s">
        <v>269</v>
      </c>
      <c r="B88" t="s">
        <v>28</v>
      </c>
      <c r="C88" t="s">
        <v>36</v>
      </c>
      <c r="D88" t="s">
        <v>23</v>
      </c>
      <c r="E88" t="s">
        <v>15</v>
      </c>
      <c r="F88" t="s">
        <v>24</v>
      </c>
      <c r="G88">
        <v>59</v>
      </c>
      <c r="H88" t="s">
        <v>270</v>
      </c>
      <c r="I88">
        <v>118093</v>
      </c>
      <c r="J88" t="s">
        <v>45</v>
      </c>
      <c r="K88" t="s">
        <v>46</v>
      </c>
    </row>
    <row r="89" spans="1:11" x14ac:dyDescent="0.3">
      <c r="A89" t="s">
        <v>271</v>
      </c>
      <c r="B89" t="s">
        <v>141</v>
      </c>
      <c r="C89" t="s">
        <v>13</v>
      </c>
      <c r="D89" t="s">
        <v>23</v>
      </c>
      <c r="E89" t="s">
        <v>15</v>
      </c>
      <c r="F89" t="s">
        <v>16</v>
      </c>
      <c r="G89">
        <v>30</v>
      </c>
      <c r="H89" t="s">
        <v>272</v>
      </c>
      <c r="I89">
        <v>64482</v>
      </c>
      <c r="J89" t="s">
        <v>32</v>
      </c>
      <c r="K89" t="s">
        <v>106</v>
      </c>
    </row>
    <row r="90" spans="1:11" x14ac:dyDescent="0.3">
      <c r="A90" t="s">
        <v>273</v>
      </c>
      <c r="B90" t="s">
        <v>182</v>
      </c>
      <c r="C90" t="s">
        <v>49</v>
      </c>
      <c r="D90" t="s">
        <v>96</v>
      </c>
      <c r="E90" t="s">
        <v>15</v>
      </c>
      <c r="F90" t="s">
        <v>43</v>
      </c>
      <c r="G90">
        <v>39</v>
      </c>
      <c r="H90" t="s">
        <v>274</v>
      </c>
      <c r="I90">
        <v>88870</v>
      </c>
      <c r="J90" t="s">
        <v>32</v>
      </c>
      <c r="K90" t="s">
        <v>33</v>
      </c>
    </row>
    <row r="91" spans="1:11" x14ac:dyDescent="0.3">
      <c r="A91" t="s">
        <v>275</v>
      </c>
      <c r="B91" t="s">
        <v>276</v>
      </c>
      <c r="C91" t="s">
        <v>29</v>
      </c>
      <c r="D91" t="s">
        <v>23</v>
      </c>
      <c r="E91" t="s">
        <v>30</v>
      </c>
      <c r="F91" t="s">
        <v>58</v>
      </c>
      <c r="G91">
        <v>22</v>
      </c>
      <c r="H91" t="s">
        <v>277</v>
      </c>
      <c r="I91">
        <v>109932</v>
      </c>
      <c r="J91" t="s">
        <v>32</v>
      </c>
      <c r="K91" t="s">
        <v>106</v>
      </c>
    </row>
    <row r="92" spans="1:11" x14ac:dyDescent="0.3">
      <c r="A92" t="s">
        <v>278</v>
      </c>
      <c r="B92" t="s">
        <v>279</v>
      </c>
      <c r="C92" t="s">
        <v>29</v>
      </c>
      <c r="D92" t="s">
        <v>96</v>
      </c>
      <c r="E92" t="s">
        <v>15</v>
      </c>
      <c r="F92" t="s">
        <v>16</v>
      </c>
      <c r="G92">
        <v>60</v>
      </c>
      <c r="H92" t="s">
        <v>280</v>
      </c>
      <c r="I92">
        <v>114975</v>
      </c>
      <c r="J92" t="s">
        <v>18</v>
      </c>
      <c r="K92" t="s">
        <v>60</v>
      </c>
    </row>
    <row r="93" spans="1:11" x14ac:dyDescent="0.3">
      <c r="A93" t="s">
        <v>281</v>
      </c>
      <c r="B93" t="s">
        <v>210</v>
      </c>
      <c r="C93" t="s">
        <v>36</v>
      </c>
      <c r="D93" t="s">
        <v>14</v>
      </c>
      <c r="E93" t="s">
        <v>15</v>
      </c>
      <c r="F93" t="s">
        <v>81</v>
      </c>
      <c r="G93">
        <v>38</v>
      </c>
      <c r="H93" t="s">
        <v>282</v>
      </c>
      <c r="I93">
        <v>82846</v>
      </c>
      <c r="J93" t="s">
        <v>32</v>
      </c>
      <c r="K93" t="s">
        <v>51</v>
      </c>
    </row>
    <row r="94" spans="1:11" x14ac:dyDescent="0.3">
      <c r="A94" t="s">
        <v>283</v>
      </c>
      <c r="B94" t="s">
        <v>78</v>
      </c>
      <c r="C94" t="s">
        <v>22</v>
      </c>
      <c r="D94" t="s">
        <v>42</v>
      </c>
      <c r="E94" t="s">
        <v>15</v>
      </c>
      <c r="F94" t="s">
        <v>24</v>
      </c>
      <c r="G94">
        <v>29</v>
      </c>
      <c r="H94" t="s">
        <v>284</v>
      </c>
      <c r="I94">
        <v>74096</v>
      </c>
      <c r="J94" t="s">
        <v>18</v>
      </c>
      <c r="K94" t="s">
        <v>60</v>
      </c>
    </row>
    <row r="95" spans="1:11" x14ac:dyDescent="0.3">
      <c r="A95" t="s">
        <v>285</v>
      </c>
      <c r="B95" t="s">
        <v>173</v>
      </c>
      <c r="C95" t="s">
        <v>36</v>
      </c>
      <c r="D95" t="s">
        <v>42</v>
      </c>
      <c r="E95" t="s">
        <v>15</v>
      </c>
      <c r="F95" t="s">
        <v>58</v>
      </c>
      <c r="G95">
        <v>45</v>
      </c>
      <c r="H95" t="s">
        <v>286</v>
      </c>
      <c r="I95">
        <v>83216</v>
      </c>
      <c r="J95" t="s">
        <v>18</v>
      </c>
      <c r="K95" t="s">
        <v>26</v>
      </c>
    </row>
    <row r="96" spans="1:11" x14ac:dyDescent="0.3">
      <c r="A96" t="s">
        <v>287</v>
      </c>
      <c r="B96" t="s">
        <v>159</v>
      </c>
      <c r="C96" t="s">
        <v>22</v>
      </c>
      <c r="D96" t="s">
        <v>96</v>
      </c>
      <c r="E96" t="s">
        <v>15</v>
      </c>
      <c r="F96" t="s">
        <v>43</v>
      </c>
      <c r="G96">
        <v>56</v>
      </c>
      <c r="H96" t="s">
        <v>288</v>
      </c>
      <c r="I96">
        <v>88974</v>
      </c>
      <c r="J96" t="s">
        <v>38</v>
      </c>
      <c r="K96" t="s">
        <v>39</v>
      </c>
    </row>
    <row r="97" spans="1:12" x14ac:dyDescent="0.3">
      <c r="A97" t="s">
        <v>289</v>
      </c>
      <c r="B97" t="s">
        <v>290</v>
      </c>
      <c r="C97" t="s">
        <v>36</v>
      </c>
      <c r="D97" t="s">
        <v>14</v>
      </c>
      <c r="E97" t="s">
        <v>15</v>
      </c>
      <c r="F97" t="s">
        <v>24</v>
      </c>
      <c r="G97">
        <v>43</v>
      </c>
      <c r="H97" t="s">
        <v>291</v>
      </c>
      <c r="I97">
        <v>40391</v>
      </c>
      <c r="J97" t="s">
        <v>18</v>
      </c>
      <c r="K97" t="s">
        <v>26</v>
      </c>
    </row>
    <row r="98" spans="1:12" x14ac:dyDescent="0.3">
      <c r="A98" t="s">
        <v>292</v>
      </c>
      <c r="B98" t="s">
        <v>191</v>
      </c>
      <c r="C98" t="s">
        <v>36</v>
      </c>
      <c r="D98" t="s">
        <v>14</v>
      </c>
      <c r="E98" t="s">
        <v>30</v>
      </c>
      <c r="F98" t="s">
        <v>81</v>
      </c>
      <c r="G98">
        <v>52</v>
      </c>
      <c r="H98" t="s">
        <v>293</v>
      </c>
      <c r="I98">
        <v>117038</v>
      </c>
      <c r="J98" t="s">
        <v>32</v>
      </c>
      <c r="K98" t="s">
        <v>51</v>
      </c>
    </row>
    <row r="99" spans="1:12" x14ac:dyDescent="0.3">
      <c r="A99" t="s">
        <v>294</v>
      </c>
      <c r="B99" t="s">
        <v>295</v>
      </c>
      <c r="C99" t="s">
        <v>22</v>
      </c>
      <c r="D99" t="s">
        <v>23</v>
      </c>
      <c r="E99" t="s">
        <v>15</v>
      </c>
      <c r="F99" t="s">
        <v>58</v>
      </c>
      <c r="G99">
        <v>31</v>
      </c>
      <c r="H99" t="s">
        <v>296</v>
      </c>
      <c r="I99">
        <v>106882</v>
      </c>
      <c r="J99" t="s">
        <v>32</v>
      </c>
      <c r="K99" t="s">
        <v>106</v>
      </c>
    </row>
    <row r="100" spans="1:12" x14ac:dyDescent="0.3">
      <c r="A100" t="s">
        <v>297</v>
      </c>
      <c r="B100" t="s">
        <v>144</v>
      </c>
      <c r="C100" t="s">
        <v>13</v>
      </c>
      <c r="D100" t="s">
        <v>14</v>
      </c>
      <c r="E100" t="s">
        <v>15</v>
      </c>
      <c r="F100" t="s">
        <v>58</v>
      </c>
      <c r="G100">
        <v>26</v>
      </c>
      <c r="H100" t="s">
        <v>298</v>
      </c>
      <c r="I100">
        <v>60916</v>
      </c>
      <c r="J100" t="s">
        <v>32</v>
      </c>
      <c r="K100" t="s">
        <v>51</v>
      </c>
    </row>
    <row r="101" spans="1:12" x14ac:dyDescent="0.3">
      <c r="A101" t="s">
        <v>299</v>
      </c>
      <c r="B101" t="s">
        <v>71</v>
      </c>
      <c r="C101" t="s">
        <v>13</v>
      </c>
      <c r="D101" t="s">
        <v>23</v>
      </c>
      <c r="E101" t="s">
        <v>15</v>
      </c>
      <c r="F101" t="s">
        <v>16</v>
      </c>
      <c r="G101">
        <v>41</v>
      </c>
      <c r="H101" t="s">
        <v>300</v>
      </c>
      <c r="I101">
        <v>54986</v>
      </c>
      <c r="J101" t="s">
        <v>18</v>
      </c>
      <c r="K101" t="s">
        <v>26</v>
      </c>
    </row>
    <row r="104" spans="1:12" x14ac:dyDescent="0.3"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5</v>
      </c>
      <c r="J104" t="s">
        <v>6</v>
      </c>
      <c r="K104" t="s">
        <v>7</v>
      </c>
      <c r="L104" t="s">
        <v>8</v>
      </c>
    </row>
    <row r="105" spans="1:12" x14ac:dyDescent="0.3">
      <c r="D105" t="s">
        <v>11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  <c r="J105">
        <v>49</v>
      </c>
      <c r="K105" t="s">
        <v>17</v>
      </c>
      <c r="L105">
        <v>115455</v>
      </c>
    </row>
    <row r="106" spans="1:12" x14ac:dyDescent="0.3">
      <c r="D106" t="s">
        <v>20</v>
      </c>
      <c r="E106" t="s">
        <v>21</v>
      </c>
      <c r="F106" t="s">
        <v>22</v>
      </c>
      <c r="G106" t="s">
        <v>23</v>
      </c>
      <c r="H106" t="s">
        <v>15</v>
      </c>
      <c r="I106" t="s">
        <v>24</v>
      </c>
      <c r="J106">
        <v>27</v>
      </c>
      <c r="K106" t="s">
        <v>25</v>
      </c>
      <c r="L106">
        <v>35391</v>
      </c>
    </row>
    <row r="107" spans="1:12" x14ac:dyDescent="0.3">
      <c r="D107" t="s">
        <v>27</v>
      </c>
      <c r="E107" t="s">
        <v>28</v>
      </c>
      <c r="F107" t="s">
        <v>29</v>
      </c>
      <c r="G107" t="s">
        <v>23</v>
      </c>
      <c r="H107" t="s">
        <v>30</v>
      </c>
      <c r="I107" t="s">
        <v>24</v>
      </c>
      <c r="J107">
        <v>25</v>
      </c>
      <c r="K107" t="s">
        <v>31</v>
      </c>
      <c r="L107">
        <v>40393</v>
      </c>
    </row>
    <row r="108" spans="1:12" x14ac:dyDescent="0.3">
      <c r="D108" t="s">
        <v>34</v>
      </c>
      <c r="E108" t="s">
        <v>35</v>
      </c>
      <c r="F108" t="s">
        <v>36</v>
      </c>
      <c r="G108" t="s">
        <v>23</v>
      </c>
      <c r="H108" t="s">
        <v>30</v>
      </c>
      <c r="I108" t="s">
        <v>24</v>
      </c>
      <c r="J108">
        <v>49</v>
      </c>
      <c r="K108" t="s">
        <v>37</v>
      </c>
      <c r="L108">
        <v>93271</v>
      </c>
    </row>
    <row r="109" spans="1:12" x14ac:dyDescent="0.3">
      <c r="D109" t="s">
        <v>40</v>
      </c>
      <c r="E109" t="s">
        <v>41</v>
      </c>
      <c r="F109" t="s">
        <v>13</v>
      </c>
      <c r="G109" t="s">
        <v>42</v>
      </c>
      <c r="H109" t="s">
        <v>15</v>
      </c>
      <c r="I109" t="s">
        <v>43</v>
      </c>
      <c r="J109">
        <v>22</v>
      </c>
      <c r="K109" t="s">
        <v>44</v>
      </c>
      <c r="L109">
        <v>63793</v>
      </c>
    </row>
    <row r="110" spans="1:12" x14ac:dyDescent="0.3">
      <c r="A110">
        <f>VLOOKUP(D107,Table1[],9,FALSE)</f>
        <v>40393</v>
      </c>
      <c r="D110" t="s">
        <v>47</v>
      </c>
      <c r="E110" t="s">
        <v>48</v>
      </c>
      <c r="F110" t="s">
        <v>49</v>
      </c>
      <c r="G110" t="s">
        <v>14</v>
      </c>
      <c r="H110" t="s">
        <v>30</v>
      </c>
      <c r="I110" t="s">
        <v>16</v>
      </c>
      <c r="J110">
        <v>45</v>
      </c>
      <c r="K110" t="s">
        <v>50</v>
      </c>
      <c r="L110">
        <v>110035</v>
      </c>
    </row>
    <row r="111" spans="1:12" x14ac:dyDescent="0.3">
      <c r="D111" t="s">
        <v>52</v>
      </c>
      <c r="E111" t="s">
        <v>53</v>
      </c>
      <c r="F111" t="s">
        <v>54</v>
      </c>
      <c r="G111" t="s">
        <v>23</v>
      </c>
      <c r="H111" t="s">
        <v>30</v>
      </c>
      <c r="I111" t="s">
        <v>43</v>
      </c>
      <c r="J111">
        <v>27</v>
      </c>
      <c r="K111" t="s">
        <v>55</v>
      </c>
      <c r="L111">
        <v>80227</v>
      </c>
    </row>
    <row r="112" spans="1:12" x14ac:dyDescent="0.3">
      <c r="D112" t="s">
        <v>56</v>
      </c>
      <c r="E112" t="s">
        <v>57</v>
      </c>
      <c r="F112" t="s">
        <v>29</v>
      </c>
      <c r="G112" t="s">
        <v>42</v>
      </c>
      <c r="H112" t="s">
        <v>30</v>
      </c>
      <c r="I112" t="s">
        <v>58</v>
      </c>
      <c r="J112">
        <v>43</v>
      </c>
      <c r="K112" t="s">
        <v>59</v>
      </c>
      <c r="L112">
        <v>77417</v>
      </c>
    </row>
    <row r="113" spans="4:12" x14ac:dyDescent="0.3">
      <c r="D113" t="s">
        <v>61</v>
      </c>
      <c r="E113" t="s">
        <v>62</v>
      </c>
      <c r="F113" t="s">
        <v>13</v>
      </c>
      <c r="G113" t="s">
        <v>42</v>
      </c>
      <c r="H113" t="s">
        <v>30</v>
      </c>
      <c r="I113" t="s">
        <v>58</v>
      </c>
      <c r="J113">
        <v>49</v>
      </c>
      <c r="K113" t="s">
        <v>63</v>
      </c>
      <c r="L113">
        <v>75002</v>
      </c>
    </row>
    <row r="114" spans="4:12" x14ac:dyDescent="0.3">
      <c r="D114" t="s">
        <v>64</v>
      </c>
      <c r="E114" t="s">
        <v>65</v>
      </c>
      <c r="F114" t="s">
        <v>22</v>
      </c>
      <c r="G114" t="s">
        <v>23</v>
      </c>
      <c r="H114" t="s">
        <v>15</v>
      </c>
      <c r="I114" t="s">
        <v>43</v>
      </c>
      <c r="J114">
        <v>51</v>
      </c>
      <c r="K114" t="s">
        <v>66</v>
      </c>
      <c r="L114">
        <v>96221</v>
      </c>
    </row>
    <row r="115" spans="4:12" x14ac:dyDescent="0.3">
      <c r="D115" t="s">
        <v>67</v>
      </c>
      <c r="E115" t="s">
        <v>68</v>
      </c>
      <c r="F115" t="s">
        <v>36</v>
      </c>
      <c r="G115" t="s">
        <v>14</v>
      </c>
      <c r="H115" t="s">
        <v>30</v>
      </c>
      <c r="I115" t="s">
        <v>24</v>
      </c>
      <c r="J115">
        <v>58</v>
      </c>
      <c r="K115" t="s">
        <v>69</v>
      </c>
      <c r="L115">
        <v>79650</v>
      </c>
    </row>
    <row r="116" spans="4:12" x14ac:dyDescent="0.3">
      <c r="D116" t="s">
        <v>70</v>
      </c>
      <c r="E116" t="s">
        <v>71</v>
      </c>
      <c r="F116" t="s">
        <v>54</v>
      </c>
      <c r="G116" t="s">
        <v>42</v>
      </c>
      <c r="H116" t="s">
        <v>30</v>
      </c>
      <c r="I116" t="s">
        <v>43</v>
      </c>
      <c r="J116">
        <v>59</v>
      </c>
      <c r="K116" t="s">
        <v>72</v>
      </c>
      <c r="L116">
        <v>86669</v>
      </c>
    </row>
    <row r="117" spans="4:12" x14ac:dyDescent="0.3">
      <c r="D117" t="s">
        <v>73</v>
      </c>
      <c r="E117" t="s">
        <v>74</v>
      </c>
      <c r="F117" t="s">
        <v>13</v>
      </c>
      <c r="G117" t="s">
        <v>23</v>
      </c>
      <c r="H117" t="s">
        <v>30</v>
      </c>
      <c r="I117" t="s">
        <v>24</v>
      </c>
      <c r="J117">
        <v>57</v>
      </c>
      <c r="K117" t="s">
        <v>75</v>
      </c>
      <c r="L117">
        <v>37708</v>
      </c>
    </row>
    <row r="118" spans="4:12" x14ac:dyDescent="0.3">
      <c r="D118" t="s">
        <v>77</v>
      </c>
      <c r="E118" t="s">
        <v>78</v>
      </c>
      <c r="F118" t="s">
        <v>54</v>
      </c>
      <c r="G118" t="s">
        <v>23</v>
      </c>
      <c r="H118" t="s">
        <v>15</v>
      </c>
      <c r="I118" t="s">
        <v>43</v>
      </c>
      <c r="J118">
        <v>57</v>
      </c>
      <c r="K118" t="s">
        <v>79</v>
      </c>
      <c r="L118">
        <v>65843</v>
      </c>
    </row>
    <row r="119" spans="4:12" x14ac:dyDescent="0.3">
      <c r="D119" t="s">
        <v>80</v>
      </c>
      <c r="E119" t="s">
        <v>78</v>
      </c>
      <c r="F119" t="s">
        <v>49</v>
      </c>
      <c r="G119" t="s">
        <v>42</v>
      </c>
      <c r="H119" t="s">
        <v>30</v>
      </c>
      <c r="I119" t="s">
        <v>81</v>
      </c>
      <c r="J119">
        <v>22</v>
      </c>
      <c r="K119" t="s">
        <v>82</v>
      </c>
      <c r="L119">
        <v>106394</v>
      </c>
    </row>
    <row r="120" spans="4:12" x14ac:dyDescent="0.3">
      <c r="D120" t="s">
        <v>83</v>
      </c>
      <c r="E120" t="s">
        <v>84</v>
      </c>
      <c r="F120" t="s">
        <v>29</v>
      </c>
      <c r="G120" t="s">
        <v>14</v>
      </c>
      <c r="H120" t="s">
        <v>30</v>
      </c>
      <c r="I120" t="s">
        <v>81</v>
      </c>
      <c r="J120">
        <v>46</v>
      </c>
      <c r="K120" t="s">
        <v>85</v>
      </c>
      <c r="L120">
        <v>103012</v>
      </c>
    </row>
    <row r="121" spans="4:12" x14ac:dyDescent="0.3">
      <c r="D121" t="s">
        <v>86</v>
      </c>
      <c r="E121" t="s">
        <v>87</v>
      </c>
      <c r="F121" t="s">
        <v>13</v>
      </c>
      <c r="G121" t="s">
        <v>42</v>
      </c>
      <c r="H121" t="s">
        <v>30</v>
      </c>
      <c r="I121" t="s">
        <v>43</v>
      </c>
      <c r="J121">
        <v>47</v>
      </c>
      <c r="K121" t="s">
        <v>88</v>
      </c>
      <c r="L121">
        <v>98500</v>
      </c>
    </row>
    <row r="122" spans="4:12" x14ac:dyDescent="0.3">
      <c r="D122" t="s">
        <v>89</v>
      </c>
      <c r="E122" t="s">
        <v>35</v>
      </c>
      <c r="F122" t="s">
        <v>49</v>
      </c>
      <c r="G122" t="s">
        <v>23</v>
      </c>
      <c r="H122" t="s">
        <v>15</v>
      </c>
      <c r="I122" t="s">
        <v>24</v>
      </c>
      <c r="J122">
        <v>42</v>
      </c>
      <c r="K122" t="s">
        <v>90</v>
      </c>
      <c r="L122">
        <v>104173</v>
      </c>
    </row>
    <row r="123" spans="4:12" x14ac:dyDescent="0.3">
      <c r="D123" t="s">
        <v>92</v>
      </c>
      <c r="E123" t="s">
        <v>93</v>
      </c>
      <c r="F123" t="s">
        <v>49</v>
      </c>
      <c r="G123" t="s">
        <v>23</v>
      </c>
      <c r="H123" t="s">
        <v>30</v>
      </c>
      <c r="I123" t="s">
        <v>24</v>
      </c>
      <c r="J123">
        <v>43</v>
      </c>
      <c r="K123" t="s">
        <v>94</v>
      </c>
      <c r="L123">
        <v>101008</v>
      </c>
    </row>
    <row r="124" spans="4:12" x14ac:dyDescent="0.3">
      <c r="D124" t="s">
        <v>95</v>
      </c>
      <c r="E124" t="s">
        <v>65</v>
      </c>
      <c r="F124" t="s">
        <v>49</v>
      </c>
      <c r="G124" t="s">
        <v>96</v>
      </c>
      <c r="H124" t="s">
        <v>30</v>
      </c>
      <c r="I124" t="s">
        <v>24</v>
      </c>
      <c r="J124">
        <v>44</v>
      </c>
      <c r="K124" t="s">
        <v>97</v>
      </c>
      <c r="L124">
        <v>74722</v>
      </c>
    </row>
    <row r="125" spans="4:12" x14ac:dyDescent="0.3">
      <c r="D125" t="s">
        <v>98</v>
      </c>
      <c r="E125" t="s">
        <v>99</v>
      </c>
      <c r="F125" t="s">
        <v>54</v>
      </c>
      <c r="G125" t="s">
        <v>23</v>
      </c>
      <c r="H125" t="s">
        <v>15</v>
      </c>
      <c r="I125" t="s">
        <v>81</v>
      </c>
      <c r="J125">
        <v>46</v>
      </c>
      <c r="K125" t="s">
        <v>100</v>
      </c>
      <c r="L125">
        <v>36732</v>
      </c>
    </row>
    <row r="126" spans="4:12" x14ac:dyDescent="0.3">
      <c r="D126" t="s">
        <v>101</v>
      </c>
      <c r="E126" t="s">
        <v>28</v>
      </c>
      <c r="F126" t="s">
        <v>36</v>
      </c>
      <c r="G126" t="s">
        <v>23</v>
      </c>
      <c r="H126" t="s">
        <v>30</v>
      </c>
      <c r="I126" t="s">
        <v>24</v>
      </c>
      <c r="J126">
        <v>22</v>
      </c>
      <c r="K126" t="s">
        <v>102</v>
      </c>
      <c r="L126">
        <v>106069</v>
      </c>
    </row>
    <row r="127" spans="4:12" x14ac:dyDescent="0.3">
      <c r="D127" t="s">
        <v>103</v>
      </c>
      <c r="E127" t="s">
        <v>104</v>
      </c>
      <c r="F127" t="s">
        <v>36</v>
      </c>
      <c r="G127" t="s">
        <v>23</v>
      </c>
      <c r="H127" t="s">
        <v>15</v>
      </c>
      <c r="I127" t="s">
        <v>58</v>
      </c>
      <c r="J127">
        <v>58</v>
      </c>
      <c r="K127" t="s">
        <v>105</v>
      </c>
      <c r="L127">
        <v>55897</v>
      </c>
    </row>
    <row r="128" spans="4:12" x14ac:dyDescent="0.3">
      <c r="D128" t="s">
        <v>107</v>
      </c>
      <c r="E128" t="s">
        <v>108</v>
      </c>
      <c r="F128" t="s">
        <v>36</v>
      </c>
      <c r="G128" t="s">
        <v>96</v>
      </c>
      <c r="H128" t="s">
        <v>30</v>
      </c>
      <c r="I128" t="s">
        <v>24</v>
      </c>
      <c r="J128">
        <v>36</v>
      </c>
      <c r="K128" t="s">
        <v>109</v>
      </c>
      <c r="L128">
        <v>76461</v>
      </c>
    </row>
    <row r="129" spans="4:12" x14ac:dyDescent="0.3">
      <c r="D129" t="s">
        <v>110</v>
      </c>
      <c r="E129" t="s">
        <v>111</v>
      </c>
      <c r="F129" t="s">
        <v>54</v>
      </c>
      <c r="G129" t="s">
        <v>23</v>
      </c>
      <c r="H129" t="s">
        <v>30</v>
      </c>
      <c r="I129" t="s">
        <v>81</v>
      </c>
      <c r="J129">
        <v>26</v>
      </c>
      <c r="K129" t="s">
        <v>112</v>
      </c>
      <c r="L129">
        <v>47846</v>
      </c>
    </row>
    <row r="130" spans="4:12" x14ac:dyDescent="0.3">
      <c r="D130" t="s">
        <v>114</v>
      </c>
      <c r="E130" t="s">
        <v>115</v>
      </c>
      <c r="F130" t="s">
        <v>54</v>
      </c>
      <c r="G130" t="s">
        <v>42</v>
      </c>
      <c r="H130" t="s">
        <v>15</v>
      </c>
      <c r="I130" t="s">
        <v>43</v>
      </c>
      <c r="J130">
        <v>32</v>
      </c>
      <c r="K130" t="s">
        <v>116</v>
      </c>
      <c r="L130">
        <v>82567</v>
      </c>
    </row>
    <row r="131" spans="4:12" x14ac:dyDescent="0.3">
      <c r="D131" t="s">
        <v>117</v>
      </c>
      <c r="E131" t="s">
        <v>118</v>
      </c>
      <c r="F131" t="s">
        <v>49</v>
      </c>
      <c r="G131" t="s">
        <v>23</v>
      </c>
      <c r="H131" t="s">
        <v>15</v>
      </c>
      <c r="I131" t="s">
        <v>58</v>
      </c>
      <c r="J131">
        <v>34</v>
      </c>
      <c r="K131" t="s">
        <v>119</v>
      </c>
      <c r="L131">
        <v>111990</v>
      </c>
    </row>
    <row r="132" spans="4:12" x14ac:dyDescent="0.3">
      <c r="D132" t="s">
        <v>120</v>
      </c>
      <c r="E132" t="s">
        <v>28</v>
      </c>
      <c r="F132" t="s">
        <v>29</v>
      </c>
      <c r="G132" t="s">
        <v>42</v>
      </c>
      <c r="H132" t="s">
        <v>30</v>
      </c>
      <c r="I132" t="s">
        <v>58</v>
      </c>
      <c r="J132">
        <v>46</v>
      </c>
      <c r="K132" t="s">
        <v>121</v>
      </c>
      <c r="L132">
        <v>58734</v>
      </c>
    </row>
    <row r="133" spans="4:12" x14ac:dyDescent="0.3">
      <c r="D133" t="s">
        <v>122</v>
      </c>
      <c r="E133" t="s">
        <v>123</v>
      </c>
      <c r="F133" t="s">
        <v>49</v>
      </c>
      <c r="G133" t="s">
        <v>42</v>
      </c>
      <c r="H133" t="s">
        <v>30</v>
      </c>
      <c r="I133" t="s">
        <v>43</v>
      </c>
      <c r="J133">
        <v>29</v>
      </c>
      <c r="K133" t="s">
        <v>124</v>
      </c>
      <c r="L133">
        <v>85846</v>
      </c>
    </row>
    <row r="134" spans="4:12" x14ac:dyDescent="0.3">
      <c r="D134" t="s">
        <v>125</v>
      </c>
      <c r="E134" t="s">
        <v>126</v>
      </c>
      <c r="F134" t="s">
        <v>36</v>
      </c>
      <c r="G134" t="s">
        <v>14</v>
      </c>
      <c r="H134" t="s">
        <v>15</v>
      </c>
      <c r="I134" t="s">
        <v>43</v>
      </c>
      <c r="J134">
        <v>58</v>
      </c>
      <c r="K134" t="s">
        <v>127</v>
      </c>
      <c r="L134">
        <v>50754</v>
      </c>
    </row>
    <row r="135" spans="4:12" x14ac:dyDescent="0.3">
      <c r="D135" t="s">
        <v>129</v>
      </c>
      <c r="E135" t="s">
        <v>130</v>
      </c>
      <c r="F135" t="s">
        <v>29</v>
      </c>
      <c r="G135" t="s">
        <v>23</v>
      </c>
      <c r="H135" t="s">
        <v>15</v>
      </c>
      <c r="I135" t="s">
        <v>24</v>
      </c>
      <c r="J135">
        <v>37</v>
      </c>
      <c r="K135" t="s">
        <v>131</v>
      </c>
      <c r="L135">
        <v>82257</v>
      </c>
    </row>
    <row r="136" spans="4:12" x14ac:dyDescent="0.3">
      <c r="D136" t="s">
        <v>132</v>
      </c>
      <c r="E136" t="s">
        <v>68</v>
      </c>
      <c r="F136" t="s">
        <v>13</v>
      </c>
      <c r="G136" t="s">
        <v>23</v>
      </c>
      <c r="H136" t="s">
        <v>30</v>
      </c>
      <c r="I136" t="s">
        <v>43</v>
      </c>
      <c r="J136">
        <v>36</v>
      </c>
      <c r="K136" t="s">
        <v>133</v>
      </c>
      <c r="L136">
        <v>98903</v>
      </c>
    </row>
    <row r="137" spans="4:12" x14ac:dyDescent="0.3">
      <c r="D137" t="s">
        <v>134</v>
      </c>
      <c r="E137" t="s">
        <v>135</v>
      </c>
      <c r="F137" t="s">
        <v>13</v>
      </c>
      <c r="G137" t="s">
        <v>96</v>
      </c>
      <c r="H137" t="s">
        <v>15</v>
      </c>
      <c r="I137" t="s">
        <v>43</v>
      </c>
      <c r="J137">
        <v>31</v>
      </c>
      <c r="K137" t="s">
        <v>136</v>
      </c>
      <c r="L137">
        <v>96046</v>
      </c>
    </row>
    <row r="138" spans="4:12" x14ac:dyDescent="0.3">
      <c r="D138" t="s">
        <v>137</v>
      </c>
      <c r="E138" t="s">
        <v>138</v>
      </c>
      <c r="F138" t="s">
        <v>49</v>
      </c>
      <c r="G138" t="s">
        <v>23</v>
      </c>
      <c r="H138" t="s">
        <v>30</v>
      </c>
      <c r="I138" t="s">
        <v>43</v>
      </c>
      <c r="J138">
        <v>42</v>
      </c>
      <c r="K138" t="s">
        <v>139</v>
      </c>
      <c r="L138">
        <v>102887</v>
      </c>
    </row>
    <row r="139" spans="4:12" x14ac:dyDescent="0.3">
      <c r="D139" t="s">
        <v>140</v>
      </c>
      <c r="E139" t="s">
        <v>141</v>
      </c>
      <c r="F139" t="s">
        <v>36</v>
      </c>
      <c r="G139" t="s">
        <v>23</v>
      </c>
      <c r="H139" t="s">
        <v>30</v>
      </c>
      <c r="I139" t="s">
        <v>81</v>
      </c>
      <c r="J139">
        <v>59</v>
      </c>
      <c r="K139" t="s">
        <v>142</v>
      </c>
      <c r="L139">
        <v>87108</v>
      </c>
    </row>
    <row r="140" spans="4:12" x14ac:dyDescent="0.3">
      <c r="D140" t="s">
        <v>143</v>
      </c>
      <c r="E140" t="s">
        <v>144</v>
      </c>
      <c r="F140" t="s">
        <v>29</v>
      </c>
      <c r="G140" t="s">
        <v>96</v>
      </c>
      <c r="H140" t="s">
        <v>30</v>
      </c>
      <c r="I140" t="s">
        <v>43</v>
      </c>
      <c r="J140">
        <v>28</v>
      </c>
      <c r="K140" t="s">
        <v>145</v>
      </c>
      <c r="L140">
        <v>104836</v>
      </c>
    </row>
    <row r="141" spans="4:12" x14ac:dyDescent="0.3">
      <c r="D141" t="s">
        <v>146</v>
      </c>
      <c r="E141" t="s">
        <v>123</v>
      </c>
      <c r="F141" t="s">
        <v>29</v>
      </c>
      <c r="G141" t="s">
        <v>23</v>
      </c>
      <c r="H141" t="s">
        <v>15</v>
      </c>
      <c r="I141" t="s">
        <v>81</v>
      </c>
      <c r="J141">
        <v>60</v>
      </c>
      <c r="K141" t="s">
        <v>147</v>
      </c>
      <c r="L141">
        <v>50963</v>
      </c>
    </row>
    <row r="142" spans="4:12" x14ac:dyDescent="0.3">
      <c r="D142" t="s">
        <v>148</v>
      </c>
      <c r="E142" t="s">
        <v>149</v>
      </c>
      <c r="F142" t="s">
        <v>22</v>
      </c>
      <c r="G142" t="s">
        <v>96</v>
      </c>
      <c r="H142" t="s">
        <v>15</v>
      </c>
      <c r="I142" t="s">
        <v>16</v>
      </c>
      <c r="J142">
        <v>31</v>
      </c>
      <c r="K142" t="s">
        <v>150</v>
      </c>
      <c r="L142">
        <v>50761</v>
      </c>
    </row>
    <row r="143" spans="4:12" x14ac:dyDescent="0.3">
      <c r="D143" t="s">
        <v>151</v>
      </c>
      <c r="E143" t="s">
        <v>135</v>
      </c>
      <c r="F143" t="s">
        <v>29</v>
      </c>
      <c r="G143" t="s">
        <v>14</v>
      </c>
      <c r="H143" t="s">
        <v>15</v>
      </c>
      <c r="I143" t="s">
        <v>58</v>
      </c>
      <c r="J143">
        <v>27</v>
      </c>
      <c r="K143" t="s">
        <v>152</v>
      </c>
      <c r="L143">
        <v>78330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Ul Abadin</cp:lastModifiedBy>
  <dcterms:created xsi:type="dcterms:W3CDTF">2026-01-24T14:40:10Z</dcterms:created>
  <dcterms:modified xsi:type="dcterms:W3CDTF">2026-01-24T16:16:38Z</dcterms:modified>
</cp:coreProperties>
</file>