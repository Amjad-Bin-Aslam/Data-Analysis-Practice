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5BD36C03-0A5C-4E41-923D-10BF374E2862}" xr6:coauthVersionLast="47" xr6:coauthVersionMax="47" xr10:uidLastSave="{00000000-0000-0000-0000-000000000000}"/>
  <bookViews>
    <workbookView xWindow="72" yWindow="0" windowWidth="11484" windowHeight="12504" xr2:uid="{00000000-000D-0000-FFFF-FFFF00000000}"/>
  </bookViews>
  <sheets>
    <sheet name="Employees" sheetId="1" r:id="rId1"/>
  </sheets>
  <calcPr calcId="191029"/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J4" i="1"/>
  <c r="I6" i="1"/>
  <c r="I5" i="1"/>
  <c r="I4" i="1"/>
</calcChain>
</file>

<file path=xl/sharedStrings.xml><?xml version="1.0" encoding="utf-8"?>
<sst xmlns="http://schemas.openxmlformats.org/spreadsheetml/2006/main" count="510" uniqueCount="184">
  <si>
    <t>Full Name</t>
  </si>
  <si>
    <t>Job Title</t>
  </si>
  <si>
    <t>Department</t>
  </si>
  <si>
    <t>Gender</t>
  </si>
  <si>
    <t>Age</t>
  </si>
  <si>
    <t>Hire Date</t>
  </si>
  <si>
    <t>Salary</t>
  </si>
  <si>
    <t>Usman Sheikh</t>
  </si>
  <si>
    <t>HR Officer</t>
  </si>
  <si>
    <t>Sales</t>
  </si>
  <si>
    <t>Female</t>
  </si>
  <si>
    <t>2025-10-17</t>
  </si>
  <si>
    <t>Ahmed Malik</t>
  </si>
  <si>
    <t>Manager</t>
  </si>
  <si>
    <t>IT</t>
  </si>
  <si>
    <t>2023-05-25</t>
  </si>
  <si>
    <t>Fatima Khan</t>
  </si>
  <si>
    <t>2024-05-06</t>
  </si>
  <si>
    <t>Fatima Butt</t>
  </si>
  <si>
    <t>Software Engineer</t>
  </si>
  <si>
    <t>Finance</t>
  </si>
  <si>
    <t>2017-01-13</t>
  </si>
  <si>
    <t>Ahmed Shah</t>
  </si>
  <si>
    <t>Support Engineer</t>
  </si>
  <si>
    <t>2020-09-09</t>
  </si>
  <si>
    <t>Ayesha Chaudhry</t>
  </si>
  <si>
    <t>Male</t>
  </si>
  <si>
    <t>2017-09-13</t>
  </si>
  <si>
    <t>Zain Ahmed</t>
  </si>
  <si>
    <t>2025-04-25</t>
  </si>
  <si>
    <t>Hassan Chaudhry</t>
  </si>
  <si>
    <t>2016-05-06</t>
  </si>
  <si>
    <t>Ayesha Malik</t>
  </si>
  <si>
    <t>HR</t>
  </si>
  <si>
    <t>2024-02-08</t>
  </si>
  <si>
    <t>Fatima Iqbal</t>
  </si>
  <si>
    <t>Sales Executive</t>
  </si>
  <si>
    <t>2018-04-13</t>
  </si>
  <si>
    <t>Zain Khan</t>
  </si>
  <si>
    <t>2020-06-19</t>
  </si>
  <si>
    <t>Hamza Butt</t>
  </si>
  <si>
    <t>2025-02-05</t>
  </si>
  <si>
    <t>Hassan Sheikh</t>
  </si>
  <si>
    <t>2021-03-05</t>
  </si>
  <si>
    <t>Hassan Khan</t>
  </si>
  <si>
    <t>Accountant</t>
  </si>
  <si>
    <t>2016-11-13</t>
  </si>
  <si>
    <t>Ali Shah</t>
  </si>
  <si>
    <t>2020-04-20</t>
  </si>
  <si>
    <t>Operations</t>
  </si>
  <si>
    <t>2017-02-09</t>
  </si>
  <si>
    <t>Sara Sheikh</t>
  </si>
  <si>
    <t>2021-11-11</t>
  </si>
  <si>
    <t>Zain Hussain</t>
  </si>
  <si>
    <t>2022-08-03</t>
  </si>
  <si>
    <t>Fatima Malik</t>
  </si>
  <si>
    <t>2022-01-17</t>
  </si>
  <si>
    <t>Sara Ahmed</t>
  </si>
  <si>
    <t>2020-04-17</t>
  </si>
  <si>
    <t>2019-08-03</t>
  </si>
  <si>
    <t>Hamza Chaudhry</t>
  </si>
  <si>
    <t>2025-03-27</t>
  </si>
  <si>
    <t>2024-01-28</t>
  </si>
  <si>
    <t>2025-06-08</t>
  </si>
  <si>
    <t>Fatima Ahmed</t>
  </si>
  <si>
    <t>2018-01-15</t>
  </si>
  <si>
    <t>Sara Butt</t>
  </si>
  <si>
    <t>2018-06-25</t>
  </si>
  <si>
    <t>2019-11-11</t>
  </si>
  <si>
    <t>Ali Malik</t>
  </si>
  <si>
    <t>2024-04-06</t>
  </si>
  <si>
    <t>2016-07-25</t>
  </si>
  <si>
    <t>Ahmed Ahmed</t>
  </si>
  <si>
    <t>2019-12-08</t>
  </si>
  <si>
    <t>2018-02-02</t>
  </si>
  <si>
    <t>Usman Malik</t>
  </si>
  <si>
    <t>2023-06-05</t>
  </si>
  <si>
    <t>Ayesha Iqbal</t>
  </si>
  <si>
    <t>2018-10-09</t>
  </si>
  <si>
    <t>Fatima Hussain</t>
  </si>
  <si>
    <t>2019-12-04</t>
  </si>
  <si>
    <t>Sara Raza</t>
  </si>
  <si>
    <t>2025-12-08</t>
  </si>
  <si>
    <t>Hamza Hussain</t>
  </si>
  <si>
    <t>2019-02-12</t>
  </si>
  <si>
    <t>Ali Hussain</t>
  </si>
  <si>
    <t>2016-02-20</t>
  </si>
  <si>
    <t>Hamza Khan</t>
  </si>
  <si>
    <t>2017-11-30</t>
  </si>
  <si>
    <t>Ali Raza</t>
  </si>
  <si>
    <t>2024-10-01</t>
  </si>
  <si>
    <t>2024-02-26</t>
  </si>
  <si>
    <t>2019-05-03</t>
  </si>
  <si>
    <t>Hassan Butt</t>
  </si>
  <si>
    <t>2023-08-16</t>
  </si>
  <si>
    <t>Ayesha Raza</t>
  </si>
  <si>
    <t>2020-11-18</t>
  </si>
  <si>
    <t>2022-06-07</t>
  </si>
  <si>
    <t>2017-06-22</t>
  </si>
  <si>
    <t>Zain Iqbal</t>
  </si>
  <si>
    <t>2017-05-18</t>
  </si>
  <si>
    <t>Noor Chaudhry</t>
  </si>
  <si>
    <t>2020-11-11</t>
  </si>
  <si>
    <t>Hassan Raza</t>
  </si>
  <si>
    <t>2017-11-14</t>
  </si>
  <si>
    <t>Noor Sheikh</t>
  </si>
  <si>
    <t>2016-09-12</t>
  </si>
  <si>
    <t>Ali Khan</t>
  </si>
  <si>
    <t>2017-11-15</t>
  </si>
  <si>
    <t>Fatima Sheikh</t>
  </si>
  <si>
    <t>2021-08-30</t>
  </si>
  <si>
    <t>2018-07-05</t>
  </si>
  <si>
    <t>2021-04-12</t>
  </si>
  <si>
    <t>Noor Shah</t>
  </si>
  <si>
    <t>2023-06-08</t>
  </si>
  <si>
    <t>2018-12-05</t>
  </si>
  <si>
    <t>2019-07-04</t>
  </si>
  <si>
    <t>2020-06-28</t>
  </si>
  <si>
    <t>Sara Khan</t>
  </si>
  <si>
    <t>2022-11-08</t>
  </si>
  <si>
    <t>Hassan Shah</t>
  </si>
  <si>
    <t>2020-04-21</t>
  </si>
  <si>
    <t>Hamza Ahmed</t>
  </si>
  <si>
    <t>2024-08-08</t>
  </si>
  <si>
    <t>2020-08-24</t>
  </si>
  <si>
    <t>2022-04-18</t>
  </si>
  <si>
    <t>Ahmed Iqbal</t>
  </si>
  <si>
    <t>2019-08-13</t>
  </si>
  <si>
    <t>Fatima Raza</t>
  </si>
  <si>
    <t>2021-06-05</t>
  </si>
  <si>
    <t>Usman Shah</t>
  </si>
  <si>
    <t>2023-02-12</t>
  </si>
  <si>
    <t>Usman Chaudhry</t>
  </si>
  <si>
    <t>2024-11-12</t>
  </si>
  <si>
    <t>2018-09-26</t>
  </si>
  <si>
    <t>2024-09-09</t>
  </si>
  <si>
    <t>Ayesha Khan</t>
  </si>
  <si>
    <t>2023-01-14</t>
  </si>
  <si>
    <t>2023-06-01</t>
  </si>
  <si>
    <t>Ahmed Chaudhry</t>
  </si>
  <si>
    <t>2018-12-15</t>
  </si>
  <si>
    <t>2019-09-02</t>
  </si>
  <si>
    <t>Usman Butt</t>
  </si>
  <si>
    <t>2017-11-08</t>
  </si>
  <si>
    <t>Zain Butt</t>
  </si>
  <si>
    <t>2024-11-07</t>
  </si>
  <si>
    <t>Fatima Chaudhry</t>
  </si>
  <si>
    <t>2017-10-07</t>
  </si>
  <si>
    <t>2023-12-16</t>
  </si>
  <si>
    <t>Noor Iqbal</t>
  </si>
  <si>
    <t>2022-03-31</t>
  </si>
  <si>
    <t>2022-02-26</t>
  </si>
  <si>
    <t>2021-08-23</t>
  </si>
  <si>
    <t>2023-05-04</t>
  </si>
  <si>
    <t>2019-03-18</t>
  </si>
  <si>
    <t>Ayesha Ahmed</t>
  </si>
  <si>
    <t>2020-05-05</t>
  </si>
  <si>
    <t>2017-07-24</t>
  </si>
  <si>
    <t>2017-11-27</t>
  </si>
  <si>
    <t>2019-09-05</t>
  </si>
  <si>
    <t>2021-08-19</t>
  </si>
  <si>
    <t>Sara Chaudhry</t>
  </si>
  <si>
    <t>2025-07-04</t>
  </si>
  <si>
    <t>2018-11-01</t>
  </si>
  <si>
    <t>Usman Raza</t>
  </si>
  <si>
    <t>2016-06-14</t>
  </si>
  <si>
    <t>Noor Butt</t>
  </si>
  <si>
    <t>2024-02-18</t>
  </si>
  <si>
    <t>2017-03-25</t>
  </si>
  <si>
    <t>Usman Ahmed</t>
  </si>
  <si>
    <t>2022-01-21</t>
  </si>
  <si>
    <t>2020-06-07</t>
  </si>
  <si>
    <t>2021-03-23</t>
  </si>
  <si>
    <t>2017-07-04</t>
  </si>
  <si>
    <t>2020-05-31</t>
  </si>
  <si>
    <t>Usman Iqbal</t>
  </si>
  <si>
    <t>2022-11-13</t>
  </si>
  <si>
    <t>2017-11-24</t>
  </si>
  <si>
    <t>2021-07-24</t>
  </si>
  <si>
    <t>Zain Chaudhry</t>
  </si>
  <si>
    <t>2021-11-08</t>
  </si>
  <si>
    <t>index</t>
  </si>
  <si>
    <t>match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</si>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</sst>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D2" workbookViewId="0">
      <selection activeCell="K11" sqref="K11"/>
    </sheetView>
  </sheetViews>
  <sheetFormatPr defaultRowHeight="14.4" x14ac:dyDescent="0.3"/>
  <cols>
    <col min="1" max="1" width="15" bestFit="1" customWidth="1"/>
    <col min="2" max="2" width="16" bestFit="1" customWidth="1"/>
    <col min="3" max="3" width="10.77734375" bestFit="1" customWidth="1"/>
    <col min="6" max="6" width="10.33203125" bestFit="1" customWidth="1"/>
    <col min="9" max="9" width="11" bestFit="1" customWidth="1"/>
    <col min="11" max="11" width="11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22</v>
      </c>
      <c r="F2" t="s">
        <v>11</v>
      </c>
      <c r="G2">
        <v>170640</v>
      </c>
    </row>
    <row r="3" spans="1:11" x14ac:dyDescent="0.3">
      <c r="A3" t="s">
        <v>12</v>
      </c>
      <c r="B3" t="s">
        <v>13</v>
      </c>
      <c r="C3" t="s">
        <v>14</v>
      </c>
      <c r="D3" t="s">
        <v>10</v>
      </c>
      <c r="E3">
        <v>22</v>
      </c>
      <c r="F3" t="s">
        <v>15</v>
      </c>
      <c r="G3">
        <v>59278</v>
      </c>
      <c r="I3" t="s">
        <v>181</v>
      </c>
      <c r="J3" t="s">
        <v>182</v>
      </c>
      <c r="K3" t="s">
        <v>183</v>
      </c>
    </row>
    <row r="4" spans="1:11" x14ac:dyDescent="0.3">
      <c r="A4" t="s">
        <v>16</v>
      </c>
      <c r="B4" t="s">
        <v>8</v>
      </c>
      <c r="C4" t="s">
        <v>14</v>
      </c>
      <c r="D4" t="s">
        <v>10</v>
      </c>
      <c r="E4">
        <v>48</v>
      </c>
      <c r="F4" t="s">
        <v>17</v>
      </c>
      <c r="G4">
        <v>191837</v>
      </c>
      <c r="I4">
        <f>INDEX(G2:G101,11)</f>
        <v>152267</v>
      </c>
      <c r="J4">
        <f>MATCH(A4,A2:A101,0)</f>
        <v>3</v>
      </c>
      <c r="K4" t="str">
        <f>INDEX(A2:A101,MATCH(G3,G1:G101))</f>
        <v>Fatima Khan</v>
      </c>
    </row>
    <row r="5" spans="1:11" x14ac:dyDescent="0.3">
      <c r="A5" t="s">
        <v>18</v>
      </c>
      <c r="B5" t="s">
        <v>19</v>
      </c>
      <c r="C5" t="s">
        <v>20</v>
      </c>
      <c r="D5" t="s">
        <v>10</v>
      </c>
      <c r="E5">
        <v>39</v>
      </c>
      <c r="F5" t="s">
        <v>21</v>
      </c>
      <c r="G5">
        <v>120323</v>
      </c>
      <c r="I5" t="str">
        <f>INDEX(D2:D101,7:7)</f>
        <v>Female</v>
      </c>
      <c r="K5" t="str">
        <f>INDEX(A1:A101,MATCH(G6,G1:G101,0))</f>
        <v>Ahmed Shah</v>
      </c>
    </row>
    <row r="6" spans="1:11" x14ac:dyDescent="0.3">
      <c r="A6" t="s">
        <v>22</v>
      </c>
      <c r="B6" t="s">
        <v>23</v>
      </c>
      <c r="C6" t="s">
        <v>14</v>
      </c>
      <c r="D6" t="s">
        <v>10</v>
      </c>
      <c r="E6">
        <v>54</v>
      </c>
      <c r="F6" t="s">
        <v>24</v>
      </c>
      <c r="G6">
        <v>69689</v>
      </c>
      <c r="I6" t="str">
        <f>INDEX(A:A,11)</f>
        <v>Fatima Iqbal</v>
      </c>
      <c r="K6" t="str">
        <f>INDEX(A1:A101,MATCH(F6,F1:F101))</f>
        <v>Hassan Butt</v>
      </c>
    </row>
    <row r="7" spans="1:11" x14ac:dyDescent="0.3">
      <c r="A7" t="s">
        <v>25</v>
      </c>
      <c r="B7" t="s">
        <v>19</v>
      </c>
      <c r="C7" t="s">
        <v>14</v>
      </c>
      <c r="D7" t="s">
        <v>26</v>
      </c>
      <c r="E7">
        <v>38</v>
      </c>
      <c r="F7" t="s">
        <v>27</v>
      </c>
      <c r="G7">
        <v>141024</v>
      </c>
      <c r="K7" t="str">
        <f>INDEX(F1:F101,MATCH(G6,G1:G101,0))</f>
        <v>2020-09-09</v>
      </c>
    </row>
    <row r="8" spans="1:11" x14ac:dyDescent="0.3">
      <c r="A8" t="s">
        <v>28</v>
      </c>
      <c r="B8" t="s">
        <v>23</v>
      </c>
      <c r="C8" t="s">
        <v>14</v>
      </c>
      <c r="D8" t="s">
        <v>10</v>
      </c>
      <c r="E8">
        <v>39</v>
      </c>
      <c r="F8" t="s">
        <v>29</v>
      </c>
      <c r="G8">
        <v>82135</v>
      </c>
      <c r="K8" t="str">
        <f>INDEX(F:F,MATCH(G3,G:G,0))</f>
        <v>2023-05-25</v>
      </c>
    </row>
    <row r="9" spans="1:11" x14ac:dyDescent="0.3">
      <c r="A9" t="s">
        <v>30</v>
      </c>
      <c r="B9" t="s">
        <v>13</v>
      </c>
      <c r="C9" t="s">
        <v>20</v>
      </c>
      <c r="D9" t="s">
        <v>26</v>
      </c>
      <c r="E9">
        <v>47</v>
      </c>
      <c r="F9" t="s">
        <v>31</v>
      </c>
      <c r="G9">
        <v>165080</v>
      </c>
    </row>
    <row r="10" spans="1:11" x14ac:dyDescent="0.3">
      <c r="A10" t="s">
        <v>32</v>
      </c>
      <c r="B10" t="s">
        <v>23</v>
      </c>
      <c r="C10" t="s">
        <v>33</v>
      </c>
      <c r="D10" t="s">
        <v>26</v>
      </c>
      <c r="E10">
        <v>37</v>
      </c>
      <c r="F10" t="s">
        <v>34</v>
      </c>
      <c r="G10">
        <v>159520</v>
      </c>
    </row>
    <row r="11" spans="1:11" x14ac:dyDescent="0.3">
      <c r="A11" t="s">
        <v>35</v>
      </c>
      <c r="B11" t="s">
        <v>36</v>
      </c>
      <c r="C11" t="s">
        <v>9</v>
      </c>
      <c r="D11" t="s">
        <v>10</v>
      </c>
      <c r="E11">
        <v>39</v>
      </c>
      <c r="F11" t="s">
        <v>37</v>
      </c>
      <c r="G11">
        <v>150084</v>
      </c>
    </row>
    <row r="12" spans="1:11" x14ac:dyDescent="0.3">
      <c r="A12" t="s">
        <v>38</v>
      </c>
      <c r="B12" t="s">
        <v>23</v>
      </c>
      <c r="C12" t="s">
        <v>33</v>
      </c>
      <c r="D12" t="s">
        <v>10</v>
      </c>
      <c r="E12">
        <v>32</v>
      </c>
      <c r="F12" t="s">
        <v>39</v>
      </c>
      <c r="G12">
        <v>152267</v>
      </c>
    </row>
    <row r="13" spans="1:11" x14ac:dyDescent="0.3">
      <c r="A13" t="s">
        <v>40</v>
      </c>
      <c r="B13" t="s">
        <v>19</v>
      </c>
      <c r="C13" t="s">
        <v>9</v>
      </c>
      <c r="D13" t="s">
        <v>10</v>
      </c>
      <c r="E13">
        <v>22</v>
      </c>
      <c r="F13" t="s">
        <v>41</v>
      </c>
      <c r="G13">
        <v>115086</v>
      </c>
    </row>
    <row r="14" spans="1:11" x14ac:dyDescent="0.3">
      <c r="A14" t="s">
        <v>42</v>
      </c>
      <c r="B14" t="s">
        <v>13</v>
      </c>
      <c r="C14" t="s">
        <v>9</v>
      </c>
      <c r="D14" t="s">
        <v>26</v>
      </c>
      <c r="E14">
        <v>51</v>
      </c>
      <c r="F14" t="s">
        <v>43</v>
      </c>
      <c r="G14">
        <v>167488</v>
      </c>
    </row>
    <row r="15" spans="1:11" x14ac:dyDescent="0.3">
      <c r="A15" t="s">
        <v>44</v>
      </c>
      <c r="B15" t="s">
        <v>45</v>
      </c>
      <c r="C15" t="s">
        <v>14</v>
      </c>
      <c r="D15" t="s">
        <v>10</v>
      </c>
      <c r="E15">
        <v>44</v>
      </c>
      <c r="F15" t="s">
        <v>46</v>
      </c>
      <c r="G15">
        <v>183741</v>
      </c>
    </row>
    <row r="16" spans="1:11" x14ac:dyDescent="0.3">
      <c r="A16" t="s">
        <v>47</v>
      </c>
      <c r="B16" t="s">
        <v>36</v>
      </c>
      <c r="C16" t="s">
        <v>33</v>
      </c>
      <c r="D16" t="s">
        <v>10</v>
      </c>
      <c r="E16">
        <v>53</v>
      </c>
      <c r="F16" t="s">
        <v>48</v>
      </c>
      <c r="G16">
        <v>156166</v>
      </c>
    </row>
    <row r="17" spans="1:7" x14ac:dyDescent="0.3">
      <c r="A17" t="s">
        <v>32</v>
      </c>
      <c r="B17" t="s">
        <v>36</v>
      </c>
      <c r="C17" t="s">
        <v>49</v>
      </c>
      <c r="D17" t="s">
        <v>10</v>
      </c>
      <c r="E17">
        <v>40</v>
      </c>
      <c r="F17" t="s">
        <v>50</v>
      </c>
      <c r="G17">
        <v>64605</v>
      </c>
    </row>
    <row r="18" spans="1:7" x14ac:dyDescent="0.3">
      <c r="A18" t="s">
        <v>51</v>
      </c>
      <c r="B18" t="s">
        <v>19</v>
      </c>
      <c r="C18" t="s">
        <v>14</v>
      </c>
      <c r="D18" t="s">
        <v>26</v>
      </c>
      <c r="E18">
        <v>46</v>
      </c>
      <c r="F18" t="s">
        <v>52</v>
      </c>
      <c r="G18">
        <v>126243</v>
      </c>
    </row>
    <row r="19" spans="1:7" x14ac:dyDescent="0.3">
      <c r="A19" t="s">
        <v>53</v>
      </c>
      <c r="B19" t="s">
        <v>8</v>
      </c>
      <c r="C19" t="s">
        <v>20</v>
      </c>
      <c r="D19" t="s">
        <v>26</v>
      </c>
      <c r="E19">
        <v>40</v>
      </c>
      <c r="F19" t="s">
        <v>54</v>
      </c>
      <c r="G19">
        <v>62382</v>
      </c>
    </row>
    <row r="20" spans="1:7" x14ac:dyDescent="0.3">
      <c r="A20" t="s">
        <v>55</v>
      </c>
      <c r="B20" t="s">
        <v>23</v>
      </c>
      <c r="C20" t="s">
        <v>9</v>
      </c>
      <c r="D20" t="s">
        <v>10</v>
      </c>
      <c r="E20">
        <v>45</v>
      </c>
      <c r="F20" t="s">
        <v>56</v>
      </c>
      <c r="G20">
        <v>65601</v>
      </c>
    </row>
    <row r="21" spans="1:7" x14ac:dyDescent="0.3">
      <c r="A21" t="s">
        <v>57</v>
      </c>
      <c r="B21" t="s">
        <v>13</v>
      </c>
      <c r="C21" t="s">
        <v>49</v>
      </c>
      <c r="D21" t="s">
        <v>26</v>
      </c>
      <c r="E21">
        <v>23</v>
      </c>
      <c r="F21" t="s">
        <v>58</v>
      </c>
      <c r="G21">
        <v>61378</v>
      </c>
    </row>
    <row r="22" spans="1:7" x14ac:dyDescent="0.3">
      <c r="A22" t="s">
        <v>7</v>
      </c>
      <c r="B22" t="s">
        <v>19</v>
      </c>
      <c r="C22" t="s">
        <v>9</v>
      </c>
      <c r="D22" t="s">
        <v>26</v>
      </c>
      <c r="E22">
        <v>22</v>
      </c>
      <c r="F22" t="s">
        <v>59</v>
      </c>
      <c r="G22">
        <v>190368</v>
      </c>
    </row>
    <row r="23" spans="1:7" x14ac:dyDescent="0.3">
      <c r="A23" t="s">
        <v>60</v>
      </c>
      <c r="B23" t="s">
        <v>36</v>
      </c>
      <c r="C23" t="s">
        <v>49</v>
      </c>
      <c r="D23" t="s">
        <v>10</v>
      </c>
      <c r="E23">
        <v>50</v>
      </c>
      <c r="F23" t="s">
        <v>61</v>
      </c>
      <c r="G23">
        <v>120990</v>
      </c>
    </row>
    <row r="24" spans="1:7" x14ac:dyDescent="0.3">
      <c r="A24" t="s">
        <v>22</v>
      </c>
      <c r="B24" t="s">
        <v>19</v>
      </c>
      <c r="C24" t="s">
        <v>20</v>
      </c>
      <c r="D24" t="s">
        <v>10</v>
      </c>
      <c r="E24">
        <v>41</v>
      </c>
      <c r="F24" t="s">
        <v>62</v>
      </c>
      <c r="G24">
        <v>154651</v>
      </c>
    </row>
    <row r="25" spans="1:7" x14ac:dyDescent="0.3">
      <c r="A25" t="s">
        <v>35</v>
      </c>
      <c r="B25" t="s">
        <v>19</v>
      </c>
      <c r="C25" t="s">
        <v>14</v>
      </c>
      <c r="D25" t="s">
        <v>10</v>
      </c>
      <c r="E25">
        <v>28</v>
      </c>
      <c r="F25" t="s">
        <v>63</v>
      </c>
      <c r="G25">
        <v>117364</v>
      </c>
    </row>
    <row r="26" spans="1:7" x14ac:dyDescent="0.3">
      <c r="A26" t="s">
        <v>64</v>
      </c>
      <c r="B26" t="s">
        <v>8</v>
      </c>
      <c r="C26" t="s">
        <v>33</v>
      </c>
      <c r="D26" t="s">
        <v>10</v>
      </c>
      <c r="E26">
        <v>54</v>
      </c>
      <c r="F26" t="s">
        <v>65</v>
      </c>
      <c r="G26">
        <v>121039</v>
      </c>
    </row>
    <row r="27" spans="1:7" x14ac:dyDescent="0.3">
      <c r="A27" t="s">
        <v>66</v>
      </c>
      <c r="B27" t="s">
        <v>36</v>
      </c>
      <c r="C27" t="s">
        <v>9</v>
      </c>
      <c r="D27" t="s">
        <v>26</v>
      </c>
      <c r="E27">
        <v>34</v>
      </c>
      <c r="F27" t="s">
        <v>67</v>
      </c>
      <c r="G27">
        <v>75080</v>
      </c>
    </row>
    <row r="28" spans="1:7" x14ac:dyDescent="0.3">
      <c r="A28" t="s">
        <v>60</v>
      </c>
      <c r="B28" t="s">
        <v>45</v>
      </c>
      <c r="C28" t="s">
        <v>20</v>
      </c>
      <c r="D28" t="s">
        <v>10</v>
      </c>
      <c r="E28">
        <v>43</v>
      </c>
      <c r="F28" t="s">
        <v>68</v>
      </c>
      <c r="G28">
        <v>151162</v>
      </c>
    </row>
    <row r="29" spans="1:7" x14ac:dyDescent="0.3">
      <c r="A29" t="s">
        <v>69</v>
      </c>
      <c r="B29" t="s">
        <v>23</v>
      </c>
      <c r="C29" t="s">
        <v>14</v>
      </c>
      <c r="D29" t="s">
        <v>10</v>
      </c>
      <c r="E29">
        <v>44</v>
      </c>
      <c r="F29" t="s">
        <v>70</v>
      </c>
      <c r="G29">
        <v>75113</v>
      </c>
    </row>
    <row r="30" spans="1:7" x14ac:dyDescent="0.3">
      <c r="A30" t="s">
        <v>44</v>
      </c>
      <c r="B30" t="s">
        <v>36</v>
      </c>
      <c r="C30" t="s">
        <v>14</v>
      </c>
      <c r="D30" t="s">
        <v>26</v>
      </c>
      <c r="E30">
        <v>35</v>
      </c>
      <c r="F30" t="s">
        <v>71</v>
      </c>
      <c r="G30">
        <v>47917</v>
      </c>
    </row>
    <row r="31" spans="1:7" x14ac:dyDescent="0.3">
      <c r="A31" t="s">
        <v>72</v>
      </c>
      <c r="B31" t="s">
        <v>23</v>
      </c>
      <c r="C31" t="s">
        <v>20</v>
      </c>
      <c r="D31" t="s">
        <v>10</v>
      </c>
      <c r="E31">
        <v>42</v>
      </c>
      <c r="F31" t="s">
        <v>73</v>
      </c>
      <c r="G31">
        <v>160601</v>
      </c>
    </row>
    <row r="32" spans="1:7" x14ac:dyDescent="0.3">
      <c r="A32" t="s">
        <v>12</v>
      </c>
      <c r="B32" t="s">
        <v>13</v>
      </c>
      <c r="C32" t="s">
        <v>9</v>
      </c>
      <c r="D32" t="s">
        <v>26</v>
      </c>
      <c r="E32">
        <v>42</v>
      </c>
      <c r="F32" t="s">
        <v>74</v>
      </c>
      <c r="G32">
        <v>78880</v>
      </c>
    </row>
    <row r="33" spans="1:7" x14ac:dyDescent="0.3">
      <c r="A33" t="s">
        <v>75</v>
      </c>
      <c r="B33" t="s">
        <v>13</v>
      </c>
      <c r="C33" t="s">
        <v>33</v>
      </c>
      <c r="D33" t="s">
        <v>26</v>
      </c>
      <c r="E33">
        <v>49</v>
      </c>
      <c r="F33" t="s">
        <v>76</v>
      </c>
      <c r="G33">
        <v>142102</v>
      </c>
    </row>
    <row r="34" spans="1:7" x14ac:dyDescent="0.3">
      <c r="A34" t="s">
        <v>77</v>
      </c>
      <c r="B34" t="s">
        <v>19</v>
      </c>
      <c r="C34" t="s">
        <v>9</v>
      </c>
      <c r="D34" t="s">
        <v>26</v>
      </c>
      <c r="E34">
        <v>45</v>
      </c>
      <c r="F34" t="s">
        <v>78</v>
      </c>
      <c r="G34">
        <v>74687</v>
      </c>
    </row>
    <row r="35" spans="1:7" x14ac:dyDescent="0.3">
      <c r="A35" t="s">
        <v>79</v>
      </c>
      <c r="B35" t="s">
        <v>23</v>
      </c>
      <c r="C35" t="s">
        <v>14</v>
      </c>
      <c r="D35" t="s">
        <v>10</v>
      </c>
      <c r="E35">
        <v>26</v>
      </c>
      <c r="F35" t="s">
        <v>80</v>
      </c>
      <c r="G35">
        <v>84131</v>
      </c>
    </row>
    <row r="36" spans="1:7" x14ac:dyDescent="0.3">
      <c r="A36" t="s">
        <v>81</v>
      </c>
      <c r="B36" t="s">
        <v>45</v>
      </c>
      <c r="C36" t="s">
        <v>9</v>
      </c>
      <c r="D36" t="s">
        <v>10</v>
      </c>
      <c r="E36">
        <v>52</v>
      </c>
      <c r="F36" t="s">
        <v>82</v>
      </c>
      <c r="G36">
        <v>118973</v>
      </c>
    </row>
    <row r="37" spans="1:7" x14ac:dyDescent="0.3">
      <c r="A37" t="s">
        <v>83</v>
      </c>
      <c r="B37" t="s">
        <v>36</v>
      </c>
      <c r="C37" t="s">
        <v>9</v>
      </c>
      <c r="D37" t="s">
        <v>10</v>
      </c>
      <c r="E37">
        <v>55</v>
      </c>
      <c r="F37" t="s">
        <v>84</v>
      </c>
      <c r="G37">
        <v>136876</v>
      </c>
    </row>
    <row r="38" spans="1:7" x14ac:dyDescent="0.3">
      <c r="A38" t="s">
        <v>85</v>
      </c>
      <c r="B38" t="s">
        <v>8</v>
      </c>
      <c r="C38" t="s">
        <v>14</v>
      </c>
      <c r="D38" t="s">
        <v>10</v>
      </c>
      <c r="E38">
        <v>47</v>
      </c>
      <c r="F38" t="s">
        <v>86</v>
      </c>
      <c r="G38">
        <v>147830</v>
      </c>
    </row>
    <row r="39" spans="1:7" x14ac:dyDescent="0.3">
      <c r="A39" t="s">
        <v>87</v>
      </c>
      <c r="B39" t="s">
        <v>19</v>
      </c>
      <c r="C39" t="s">
        <v>20</v>
      </c>
      <c r="D39" t="s">
        <v>10</v>
      </c>
      <c r="E39">
        <v>29</v>
      </c>
      <c r="F39" t="s">
        <v>88</v>
      </c>
      <c r="G39">
        <v>42909</v>
      </c>
    </row>
    <row r="40" spans="1:7" x14ac:dyDescent="0.3">
      <c r="A40" t="s">
        <v>89</v>
      </c>
      <c r="B40" t="s">
        <v>19</v>
      </c>
      <c r="C40" t="s">
        <v>20</v>
      </c>
      <c r="D40" t="s">
        <v>10</v>
      </c>
      <c r="E40">
        <v>30</v>
      </c>
      <c r="F40" t="s">
        <v>90</v>
      </c>
      <c r="G40">
        <v>188534</v>
      </c>
    </row>
    <row r="41" spans="1:7" x14ac:dyDescent="0.3">
      <c r="A41" t="s">
        <v>83</v>
      </c>
      <c r="B41" t="s">
        <v>13</v>
      </c>
      <c r="C41" t="s">
        <v>9</v>
      </c>
      <c r="D41" t="s">
        <v>10</v>
      </c>
      <c r="E41">
        <v>42</v>
      </c>
      <c r="F41" t="s">
        <v>91</v>
      </c>
      <c r="G41">
        <v>179088</v>
      </c>
    </row>
    <row r="42" spans="1:7" x14ac:dyDescent="0.3">
      <c r="A42" t="s">
        <v>32</v>
      </c>
      <c r="B42" t="s">
        <v>36</v>
      </c>
      <c r="C42" t="s">
        <v>20</v>
      </c>
      <c r="D42" t="s">
        <v>26</v>
      </c>
      <c r="E42">
        <v>50</v>
      </c>
      <c r="F42" t="s">
        <v>92</v>
      </c>
      <c r="G42">
        <v>93670</v>
      </c>
    </row>
    <row r="43" spans="1:7" x14ac:dyDescent="0.3">
      <c r="A43" t="s">
        <v>93</v>
      </c>
      <c r="B43" t="s">
        <v>13</v>
      </c>
      <c r="C43" t="s">
        <v>14</v>
      </c>
      <c r="D43" t="s">
        <v>10</v>
      </c>
      <c r="E43">
        <v>50</v>
      </c>
      <c r="F43" t="s">
        <v>94</v>
      </c>
      <c r="G43">
        <v>88933</v>
      </c>
    </row>
    <row r="44" spans="1:7" x14ac:dyDescent="0.3">
      <c r="A44" t="s">
        <v>95</v>
      </c>
      <c r="B44" t="s">
        <v>8</v>
      </c>
      <c r="C44" t="s">
        <v>49</v>
      </c>
      <c r="D44" t="s">
        <v>26</v>
      </c>
      <c r="E44">
        <v>40</v>
      </c>
      <c r="F44" t="s">
        <v>96</v>
      </c>
      <c r="G44">
        <v>167950</v>
      </c>
    </row>
    <row r="45" spans="1:7" x14ac:dyDescent="0.3">
      <c r="A45" t="s">
        <v>22</v>
      </c>
      <c r="B45" t="s">
        <v>8</v>
      </c>
      <c r="C45" t="s">
        <v>14</v>
      </c>
      <c r="D45" t="s">
        <v>10</v>
      </c>
      <c r="E45">
        <v>24</v>
      </c>
      <c r="F45" t="s">
        <v>97</v>
      </c>
      <c r="G45">
        <v>182165</v>
      </c>
    </row>
    <row r="46" spans="1:7" x14ac:dyDescent="0.3">
      <c r="A46" t="s">
        <v>93</v>
      </c>
      <c r="B46" t="s">
        <v>23</v>
      </c>
      <c r="C46" t="s">
        <v>20</v>
      </c>
      <c r="D46" t="s">
        <v>10</v>
      </c>
      <c r="E46">
        <v>33</v>
      </c>
      <c r="F46" t="s">
        <v>98</v>
      </c>
      <c r="G46">
        <v>67184</v>
      </c>
    </row>
    <row r="47" spans="1:7" x14ac:dyDescent="0.3">
      <c r="A47" t="s">
        <v>99</v>
      </c>
      <c r="B47" t="s">
        <v>23</v>
      </c>
      <c r="C47" t="s">
        <v>14</v>
      </c>
      <c r="D47" t="s">
        <v>10</v>
      </c>
      <c r="E47">
        <v>22</v>
      </c>
      <c r="F47" t="s">
        <v>100</v>
      </c>
      <c r="G47">
        <v>144601</v>
      </c>
    </row>
    <row r="48" spans="1:7" x14ac:dyDescent="0.3">
      <c r="A48" t="s">
        <v>101</v>
      </c>
      <c r="B48" t="s">
        <v>23</v>
      </c>
      <c r="C48" t="s">
        <v>20</v>
      </c>
      <c r="D48" t="s">
        <v>26</v>
      </c>
      <c r="E48">
        <v>33</v>
      </c>
      <c r="F48" t="s">
        <v>102</v>
      </c>
      <c r="G48">
        <v>100893</v>
      </c>
    </row>
    <row r="49" spans="1:7" x14ac:dyDescent="0.3">
      <c r="A49" t="s">
        <v>103</v>
      </c>
      <c r="B49" t="s">
        <v>13</v>
      </c>
      <c r="C49" t="s">
        <v>33</v>
      </c>
      <c r="D49" t="s">
        <v>26</v>
      </c>
      <c r="E49">
        <v>43</v>
      </c>
      <c r="F49" t="s">
        <v>104</v>
      </c>
      <c r="G49">
        <v>156025</v>
      </c>
    </row>
    <row r="50" spans="1:7" x14ac:dyDescent="0.3">
      <c r="A50" t="s">
        <v>105</v>
      </c>
      <c r="B50" t="s">
        <v>45</v>
      </c>
      <c r="C50" t="s">
        <v>33</v>
      </c>
      <c r="D50" t="s">
        <v>10</v>
      </c>
      <c r="E50">
        <v>42</v>
      </c>
      <c r="F50" t="s">
        <v>106</v>
      </c>
      <c r="G50">
        <v>171531</v>
      </c>
    </row>
    <row r="51" spans="1:7" x14ac:dyDescent="0.3">
      <c r="A51" t="s">
        <v>107</v>
      </c>
      <c r="B51" t="s">
        <v>19</v>
      </c>
      <c r="C51" t="s">
        <v>9</v>
      </c>
      <c r="D51" t="s">
        <v>26</v>
      </c>
      <c r="E51">
        <v>52</v>
      </c>
      <c r="F51" t="s">
        <v>108</v>
      </c>
      <c r="G51">
        <v>151624</v>
      </c>
    </row>
    <row r="52" spans="1:7" x14ac:dyDescent="0.3">
      <c r="A52" t="s">
        <v>109</v>
      </c>
      <c r="B52" t="s">
        <v>45</v>
      </c>
      <c r="C52" t="s">
        <v>20</v>
      </c>
      <c r="D52" t="s">
        <v>10</v>
      </c>
      <c r="E52">
        <v>25</v>
      </c>
      <c r="F52" t="s">
        <v>110</v>
      </c>
      <c r="G52">
        <v>49268</v>
      </c>
    </row>
    <row r="53" spans="1:7" x14ac:dyDescent="0.3">
      <c r="A53" t="s">
        <v>77</v>
      </c>
      <c r="B53" t="s">
        <v>8</v>
      </c>
      <c r="C53" t="s">
        <v>33</v>
      </c>
      <c r="D53" t="s">
        <v>26</v>
      </c>
      <c r="E53">
        <v>44</v>
      </c>
      <c r="F53" t="s">
        <v>111</v>
      </c>
      <c r="G53">
        <v>86376</v>
      </c>
    </row>
    <row r="54" spans="1:7" x14ac:dyDescent="0.3">
      <c r="A54" t="s">
        <v>66</v>
      </c>
      <c r="B54" t="s">
        <v>45</v>
      </c>
      <c r="C54" t="s">
        <v>20</v>
      </c>
      <c r="D54" t="s">
        <v>10</v>
      </c>
      <c r="E54">
        <v>37</v>
      </c>
      <c r="F54" t="s">
        <v>112</v>
      </c>
      <c r="G54">
        <v>165908</v>
      </c>
    </row>
    <row r="55" spans="1:7" x14ac:dyDescent="0.3">
      <c r="A55" t="s">
        <v>113</v>
      </c>
      <c r="B55" t="s">
        <v>13</v>
      </c>
      <c r="C55" t="s">
        <v>49</v>
      </c>
      <c r="D55" t="s">
        <v>10</v>
      </c>
      <c r="E55">
        <v>46</v>
      </c>
      <c r="F55" t="s">
        <v>114</v>
      </c>
      <c r="G55">
        <v>65277</v>
      </c>
    </row>
    <row r="56" spans="1:7" x14ac:dyDescent="0.3">
      <c r="A56" t="s">
        <v>38</v>
      </c>
      <c r="B56" t="s">
        <v>8</v>
      </c>
      <c r="C56" t="s">
        <v>9</v>
      </c>
      <c r="D56" t="s">
        <v>26</v>
      </c>
      <c r="E56">
        <v>49</v>
      </c>
      <c r="F56" t="s">
        <v>115</v>
      </c>
      <c r="G56">
        <v>152100</v>
      </c>
    </row>
    <row r="57" spans="1:7" x14ac:dyDescent="0.3">
      <c r="A57" t="s">
        <v>69</v>
      </c>
      <c r="B57" t="s">
        <v>45</v>
      </c>
      <c r="C57" t="s">
        <v>14</v>
      </c>
      <c r="D57" t="s">
        <v>10</v>
      </c>
      <c r="E57">
        <v>28</v>
      </c>
      <c r="F57" t="s">
        <v>116</v>
      </c>
      <c r="G57">
        <v>112382</v>
      </c>
    </row>
    <row r="58" spans="1:7" x14ac:dyDescent="0.3">
      <c r="A58" t="s">
        <v>75</v>
      </c>
      <c r="B58" t="s">
        <v>23</v>
      </c>
      <c r="C58" t="s">
        <v>9</v>
      </c>
      <c r="D58" t="s">
        <v>10</v>
      </c>
      <c r="E58">
        <v>32</v>
      </c>
      <c r="F58" t="s">
        <v>117</v>
      </c>
      <c r="G58">
        <v>138120</v>
      </c>
    </row>
    <row r="59" spans="1:7" x14ac:dyDescent="0.3">
      <c r="A59" t="s">
        <v>118</v>
      </c>
      <c r="B59" t="s">
        <v>45</v>
      </c>
      <c r="C59" t="s">
        <v>33</v>
      </c>
      <c r="D59" t="s">
        <v>26</v>
      </c>
      <c r="E59">
        <v>29</v>
      </c>
      <c r="F59" t="s">
        <v>119</v>
      </c>
      <c r="G59">
        <v>58707</v>
      </c>
    </row>
    <row r="60" spans="1:7" x14ac:dyDescent="0.3">
      <c r="A60" t="s">
        <v>120</v>
      </c>
      <c r="B60" t="s">
        <v>8</v>
      </c>
      <c r="C60" t="s">
        <v>33</v>
      </c>
      <c r="D60" t="s">
        <v>10</v>
      </c>
      <c r="E60">
        <v>40</v>
      </c>
      <c r="F60" t="s">
        <v>121</v>
      </c>
      <c r="G60">
        <v>63983</v>
      </c>
    </row>
    <row r="61" spans="1:7" x14ac:dyDescent="0.3">
      <c r="A61" t="s">
        <v>122</v>
      </c>
      <c r="B61" t="s">
        <v>13</v>
      </c>
      <c r="C61" t="s">
        <v>49</v>
      </c>
      <c r="D61" t="s">
        <v>26</v>
      </c>
      <c r="E61">
        <v>45</v>
      </c>
      <c r="F61" t="s">
        <v>123</v>
      </c>
      <c r="G61">
        <v>51810</v>
      </c>
    </row>
    <row r="62" spans="1:7" x14ac:dyDescent="0.3">
      <c r="A62" t="s">
        <v>118</v>
      </c>
      <c r="B62" t="s">
        <v>13</v>
      </c>
      <c r="C62" t="s">
        <v>33</v>
      </c>
      <c r="D62" t="s">
        <v>10</v>
      </c>
      <c r="E62">
        <v>24</v>
      </c>
      <c r="F62" t="s">
        <v>124</v>
      </c>
      <c r="G62">
        <v>86459</v>
      </c>
    </row>
    <row r="63" spans="1:7" x14ac:dyDescent="0.3">
      <c r="A63" t="s">
        <v>99</v>
      </c>
      <c r="B63" t="s">
        <v>23</v>
      </c>
      <c r="C63" t="s">
        <v>49</v>
      </c>
      <c r="D63" t="s">
        <v>26</v>
      </c>
      <c r="E63">
        <v>53</v>
      </c>
      <c r="F63" t="s">
        <v>125</v>
      </c>
      <c r="G63">
        <v>199213</v>
      </c>
    </row>
    <row r="64" spans="1:7" x14ac:dyDescent="0.3">
      <c r="A64" t="s">
        <v>126</v>
      </c>
      <c r="B64" t="s">
        <v>8</v>
      </c>
      <c r="C64" t="s">
        <v>9</v>
      </c>
      <c r="D64" t="s">
        <v>10</v>
      </c>
      <c r="E64">
        <v>30</v>
      </c>
      <c r="F64" t="s">
        <v>127</v>
      </c>
      <c r="G64">
        <v>142036</v>
      </c>
    </row>
    <row r="65" spans="1:7" x14ac:dyDescent="0.3">
      <c r="A65" t="s">
        <v>128</v>
      </c>
      <c r="B65" t="s">
        <v>36</v>
      </c>
      <c r="C65" t="s">
        <v>9</v>
      </c>
      <c r="D65" t="s">
        <v>10</v>
      </c>
      <c r="E65">
        <v>46</v>
      </c>
      <c r="F65" t="s">
        <v>129</v>
      </c>
      <c r="G65">
        <v>58618</v>
      </c>
    </row>
    <row r="66" spans="1:7" x14ac:dyDescent="0.3">
      <c r="A66" t="s">
        <v>130</v>
      </c>
      <c r="B66" t="s">
        <v>8</v>
      </c>
      <c r="C66" t="s">
        <v>33</v>
      </c>
      <c r="D66" t="s">
        <v>26</v>
      </c>
      <c r="E66">
        <v>22</v>
      </c>
      <c r="F66" t="s">
        <v>131</v>
      </c>
      <c r="G66">
        <v>174768</v>
      </c>
    </row>
    <row r="67" spans="1:7" x14ac:dyDescent="0.3">
      <c r="A67" t="s">
        <v>132</v>
      </c>
      <c r="B67" t="s">
        <v>45</v>
      </c>
      <c r="C67" t="s">
        <v>14</v>
      </c>
      <c r="D67" t="s">
        <v>26</v>
      </c>
      <c r="E67">
        <v>38</v>
      </c>
      <c r="F67" t="s">
        <v>133</v>
      </c>
      <c r="G67">
        <v>99742</v>
      </c>
    </row>
    <row r="68" spans="1:7" x14ac:dyDescent="0.3">
      <c r="A68" t="s">
        <v>118</v>
      </c>
      <c r="B68" t="s">
        <v>36</v>
      </c>
      <c r="C68" t="s">
        <v>9</v>
      </c>
      <c r="D68" t="s">
        <v>26</v>
      </c>
      <c r="E68">
        <v>42</v>
      </c>
      <c r="F68" t="s">
        <v>134</v>
      </c>
      <c r="G68">
        <v>103362</v>
      </c>
    </row>
    <row r="69" spans="1:7" x14ac:dyDescent="0.3">
      <c r="A69" t="s">
        <v>132</v>
      </c>
      <c r="B69" t="s">
        <v>19</v>
      </c>
      <c r="C69" t="s">
        <v>49</v>
      </c>
      <c r="D69" t="s">
        <v>26</v>
      </c>
      <c r="E69">
        <v>25</v>
      </c>
      <c r="F69" t="s">
        <v>135</v>
      </c>
      <c r="G69">
        <v>174607</v>
      </c>
    </row>
    <row r="70" spans="1:7" x14ac:dyDescent="0.3">
      <c r="A70" t="s">
        <v>136</v>
      </c>
      <c r="B70" t="s">
        <v>19</v>
      </c>
      <c r="C70" t="s">
        <v>14</v>
      </c>
      <c r="D70" t="s">
        <v>10</v>
      </c>
      <c r="E70">
        <v>27</v>
      </c>
      <c r="F70" t="s">
        <v>137</v>
      </c>
      <c r="G70">
        <v>81558</v>
      </c>
    </row>
    <row r="71" spans="1:7" x14ac:dyDescent="0.3">
      <c r="A71" t="s">
        <v>28</v>
      </c>
      <c r="B71" t="s">
        <v>45</v>
      </c>
      <c r="C71" t="s">
        <v>33</v>
      </c>
      <c r="D71" t="s">
        <v>26</v>
      </c>
      <c r="E71">
        <v>27</v>
      </c>
      <c r="F71" t="s">
        <v>138</v>
      </c>
      <c r="G71">
        <v>161167</v>
      </c>
    </row>
    <row r="72" spans="1:7" x14ac:dyDescent="0.3">
      <c r="A72" t="s">
        <v>139</v>
      </c>
      <c r="B72" t="s">
        <v>19</v>
      </c>
      <c r="C72" t="s">
        <v>14</v>
      </c>
      <c r="D72" t="s">
        <v>26</v>
      </c>
      <c r="E72">
        <v>22</v>
      </c>
      <c r="F72" t="s">
        <v>140</v>
      </c>
      <c r="G72">
        <v>83393</v>
      </c>
    </row>
    <row r="73" spans="1:7" x14ac:dyDescent="0.3">
      <c r="A73" t="s">
        <v>35</v>
      </c>
      <c r="B73" t="s">
        <v>36</v>
      </c>
      <c r="C73" t="s">
        <v>33</v>
      </c>
      <c r="D73" t="s">
        <v>10</v>
      </c>
      <c r="E73">
        <v>28</v>
      </c>
      <c r="F73" t="s">
        <v>141</v>
      </c>
      <c r="G73">
        <v>52489</v>
      </c>
    </row>
    <row r="74" spans="1:7" x14ac:dyDescent="0.3">
      <c r="A74" t="s">
        <v>142</v>
      </c>
      <c r="B74" t="s">
        <v>23</v>
      </c>
      <c r="C74" t="s">
        <v>9</v>
      </c>
      <c r="D74" t="s">
        <v>26</v>
      </c>
      <c r="E74">
        <v>47</v>
      </c>
      <c r="F74" t="s">
        <v>143</v>
      </c>
      <c r="G74">
        <v>137191</v>
      </c>
    </row>
    <row r="75" spans="1:7" x14ac:dyDescent="0.3">
      <c r="A75" t="s">
        <v>144</v>
      </c>
      <c r="B75" t="s">
        <v>36</v>
      </c>
      <c r="C75" t="s">
        <v>33</v>
      </c>
      <c r="D75" t="s">
        <v>10</v>
      </c>
      <c r="E75">
        <v>40</v>
      </c>
      <c r="F75" t="s">
        <v>145</v>
      </c>
      <c r="G75">
        <v>166832</v>
      </c>
    </row>
    <row r="76" spans="1:7" x14ac:dyDescent="0.3">
      <c r="A76" t="s">
        <v>146</v>
      </c>
      <c r="B76" t="s">
        <v>13</v>
      </c>
      <c r="C76" t="s">
        <v>9</v>
      </c>
      <c r="D76" t="s">
        <v>26</v>
      </c>
      <c r="E76">
        <v>48</v>
      </c>
      <c r="F76" t="s">
        <v>147</v>
      </c>
      <c r="G76">
        <v>137049</v>
      </c>
    </row>
    <row r="77" spans="1:7" x14ac:dyDescent="0.3">
      <c r="A77" t="s">
        <v>69</v>
      </c>
      <c r="B77" t="s">
        <v>8</v>
      </c>
      <c r="C77" t="s">
        <v>33</v>
      </c>
      <c r="D77" t="s">
        <v>26</v>
      </c>
      <c r="E77">
        <v>31</v>
      </c>
      <c r="F77" t="s">
        <v>148</v>
      </c>
      <c r="G77">
        <v>191791</v>
      </c>
    </row>
    <row r="78" spans="1:7" x14ac:dyDescent="0.3">
      <c r="A78" t="s">
        <v>149</v>
      </c>
      <c r="B78" t="s">
        <v>13</v>
      </c>
      <c r="C78" t="s">
        <v>33</v>
      </c>
      <c r="D78" t="s">
        <v>26</v>
      </c>
      <c r="E78">
        <v>50</v>
      </c>
      <c r="F78" t="s">
        <v>150</v>
      </c>
      <c r="G78">
        <v>65991</v>
      </c>
    </row>
    <row r="79" spans="1:7" x14ac:dyDescent="0.3">
      <c r="A79" t="s">
        <v>85</v>
      </c>
      <c r="B79" t="s">
        <v>19</v>
      </c>
      <c r="C79" t="s">
        <v>49</v>
      </c>
      <c r="D79" t="s">
        <v>26</v>
      </c>
      <c r="E79">
        <v>27</v>
      </c>
      <c r="F79" t="s">
        <v>151</v>
      </c>
      <c r="G79">
        <v>176807</v>
      </c>
    </row>
    <row r="80" spans="1:7" x14ac:dyDescent="0.3">
      <c r="A80" t="s">
        <v>38</v>
      </c>
      <c r="B80" t="s">
        <v>8</v>
      </c>
      <c r="C80" t="s">
        <v>49</v>
      </c>
      <c r="D80" t="s">
        <v>26</v>
      </c>
      <c r="E80">
        <v>28</v>
      </c>
      <c r="F80" t="s">
        <v>152</v>
      </c>
      <c r="G80">
        <v>85211</v>
      </c>
    </row>
    <row r="81" spans="1:7" x14ac:dyDescent="0.3">
      <c r="A81" t="s">
        <v>146</v>
      </c>
      <c r="B81" t="s">
        <v>36</v>
      </c>
      <c r="C81" t="s">
        <v>9</v>
      </c>
      <c r="D81" t="s">
        <v>26</v>
      </c>
      <c r="E81">
        <v>43</v>
      </c>
      <c r="F81" t="s">
        <v>153</v>
      </c>
      <c r="G81">
        <v>168485</v>
      </c>
    </row>
    <row r="82" spans="1:7" x14ac:dyDescent="0.3">
      <c r="A82" t="s">
        <v>130</v>
      </c>
      <c r="B82" t="s">
        <v>36</v>
      </c>
      <c r="C82" t="s">
        <v>20</v>
      </c>
      <c r="D82" t="s">
        <v>10</v>
      </c>
      <c r="E82">
        <v>44</v>
      </c>
      <c r="F82" t="s">
        <v>154</v>
      </c>
      <c r="G82">
        <v>78617</v>
      </c>
    </row>
    <row r="83" spans="1:7" x14ac:dyDescent="0.3">
      <c r="A83" t="s">
        <v>155</v>
      </c>
      <c r="B83" t="s">
        <v>36</v>
      </c>
      <c r="C83" t="s">
        <v>9</v>
      </c>
      <c r="D83" t="s">
        <v>10</v>
      </c>
      <c r="E83">
        <v>27</v>
      </c>
      <c r="F83" t="s">
        <v>156</v>
      </c>
      <c r="G83">
        <v>153503</v>
      </c>
    </row>
    <row r="84" spans="1:7" x14ac:dyDescent="0.3">
      <c r="A84" t="s">
        <v>99</v>
      </c>
      <c r="B84" t="s">
        <v>13</v>
      </c>
      <c r="C84" t="s">
        <v>9</v>
      </c>
      <c r="D84" t="s">
        <v>26</v>
      </c>
      <c r="E84">
        <v>34</v>
      </c>
      <c r="F84" t="s">
        <v>157</v>
      </c>
      <c r="G84">
        <v>41651</v>
      </c>
    </row>
    <row r="85" spans="1:7" x14ac:dyDescent="0.3">
      <c r="A85" t="s">
        <v>32</v>
      </c>
      <c r="B85" t="s">
        <v>19</v>
      </c>
      <c r="C85" t="s">
        <v>20</v>
      </c>
      <c r="D85" t="s">
        <v>26</v>
      </c>
      <c r="E85">
        <v>33</v>
      </c>
      <c r="F85" t="s">
        <v>158</v>
      </c>
      <c r="G85">
        <v>96318</v>
      </c>
    </row>
    <row r="86" spans="1:7" x14ac:dyDescent="0.3">
      <c r="A86" t="s">
        <v>149</v>
      </c>
      <c r="B86" t="s">
        <v>23</v>
      </c>
      <c r="C86" t="s">
        <v>14</v>
      </c>
      <c r="D86" t="s">
        <v>26</v>
      </c>
      <c r="E86">
        <v>22</v>
      </c>
      <c r="F86" t="s">
        <v>159</v>
      </c>
      <c r="G86">
        <v>86787</v>
      </c>
    </row>
    <row r="87" spans="1:7" x14ac:dyDescent="0.3">
      <c r="A87" t="s">
        <v>66</v>
      </c>
      <c r="B87" t="s">
        <v>13</v>
      </c>
      <c r="C87" t="s">
        <v>14</v>
      </c>
      <c r="D87" t="s">
        <v>26</v>
      </c>
      <c r="E87">
        <v>25</v>
      </c>
      <c r="F87" t="s">
        <v>160</v>
      </c>
      <c r="G87">
        <v>119588</v>
      </c>
    </row>
    <row r="88" spans="1:7" x14ac:dyDescent="0.3">
      <c r="A88" t="s">
        <v>161</v>
      </c>
      <c r="B88" t="s">
        <v>23</v>
      </c>
      <c r="C88" t="s">
        <v>14</v>
      </c>
      <c r="D88" t="s">
        <v>10</v>
      </c>
      <c r="E88">
        <v>42</v>
      </c>
      <c r="F88" t="s">
        <v>162</v>
      </c>
      <c r="G88">
        <v>67670</v>
      </c>
    </row>
    <row r="89" spans="1:7" x14ac:dyDescent="0.3">
      <c r="A89" t="s">
        <v>107</v>
      </c>
      <c r="B89" t="s">
        <v>8</v>
      </c>
      <c r="C89" t="s">
        <v>49</v>
      </c>
      <c r="D89" t="s">
        <v>10</v>
      </c>
      <c r="E89">
        <v>29</v>
      </c>
      <c r="F89" t="s">
        <v>163</v>
      </c>
      <c r="G89">
        <v>165469</v>
      </c>
    </row>
    <row r="90" spans="1:7" x14ac:dyDescent="0.3">
      <c r="A90" t="s">
        <v>164</v>
      </c>
      <c r="B90" t="s">
        <v>36</v>
      </c>
      <c r="C90" t="s">
        <v>33</v>
      </c>
      <c r="D90" t="s">
        <v>10</v>
      </c>
      <c r="E90">
        <v>44</v>
      </c>
      <c r="F90" t="s">
        <v>165</v>
      </c>
      <c r="G90">
        <v>168562</v>
      </c>
    </row>
    <row r="91" spans="1:7" x14ac:dyDescent="0.3">
      <c r="A91" t="s">
        <v>166</v>
      </c>
      <c r="B91" t="s">
        <v>36</v>
      </c>
      <c r="C91" t="s">
        <v>9</v>
      </c>
      <c r="D91" t="s">
        <v>10</v>
      </c>
      <c r="E91">
        <v>27</v>
      </c>
      <c r="F91" t="s">
        <v>167</v>
      </c>
      <c r="G91">
        <v>196418</v>
      </c>
    </row>
    <row r="92" spans="1:7" x14ac:dyDescent="0.3">
      <c r="A92" t="s">
        <v>93</v>
      </c>
      <c r="B92" t="s">
        <v>19</v>
      </c>
      <c r="C92" t="s">
        <v>9</v>
      </c>
      <c r="D92" t="s">
        <v>26</v>
      </c>
      <c r="E92">
        <v>48</v>
      </c>
      <c r="F92" t="s">
        <v>168</v>
      </c>
      <c r="G92">
        <v>154490</v>
      </c>
    </row>
    <row r="93" spans="1:7" x14ac:dyDescent="0.3">
      <c r="A93" t="s">
        <v>169</v>
      </c>
      <c r="B93" t="s">
        <v>19</v>
      </c>
      <c r="C93" t="s">
        <v>49</v>
      </c>
      <c r="D93" t="s">
        <v>10</v>
      </c>
      <c r="E93">
        <v>39</v>
      </c>
      <c r="F93" t="s">
        <v>170</v>
      </c>
      <c r="G93">
        <v>170856</v>
      </c>
    </row>
    <row r="94" spans="1:7" x14ac:dyDescent="0.3">
      <c r="A94" t="s">
        <v>139</v>
      </c>
      <c r="B94" t="s">
        <v>13</v>
      </c>
      <c r="C94" t="s">
        <v>14</v>
      </c>
      <c r="D94" t="s">
        <v>26</v>
      </c>
      <c r="E94">
        <v>23</v>
      </c>
      <c r="F94" t="s">
        <v>171</v>
      </c>
      <c r="G94">
        <v>104761</v>
      </c>
    </row>
    <row r="95" spans="1:7" x14ac:dyDescent="0.3">
      <c r="A95" t="s">
        <v>64</v>
      </c>
      <c r="B95" t="s">
        <v>8</v>
      </c>
      <c r="C95" t="s">
        <v>49</v>
      </c>
      <c r="D95" t="s">
        <v>10</v>
      </c>
      <c r="E95">
        <v>36</v>
      </c>
      <c r="F95" t="s">
        <v>172</v>
      </c>
      <c r="G95">
        <v>188718</v>
      </c>
    </row>
    <row r="96" spans="1:7" x14ac:dyDescent="0.3">
      <c r="A96" t="s">
        <v>60</v>
      </c>
      <c r="B96" t="s">
        <v>23</v>
      </c>
      <c r="C96" t="s">
        <v>14</v>
      </c>
      <c r="D96" t="s">
        <v>10</v>
      </c>
      <c r="E96">
        <v>31</v>
      </c>
      <c r="F96" t="s">
        <v>173</v>
      </c>
      <c r="G96">
        <v>129200</v>
      </c>
    </row>
    <row r="97" spans="1:7" x14ac:dyDescent="0.3">
      <c r="A97" t="s">
        <v>118</v>
      </c>
      <c r="B97" t="s">
        <v>13</v>
      </c>
      <c r="C97" t="s">
        <v>20</v>
      </c>
      <c r="D97" t="s">
        <v>26</v>
      </c>
      <c r="E97">
        <v>28</v>
      </c>
      <c r="F97" t="s">
        <v>174</v>
      </c>
      <c r="G97">
        <v>51207</v>
      </c>
    </row>
    <row r="98" spans="1:7" x14ac:dyDescent="0.3">
      <c r="A98" t="s">
        <v>175</v>
      </c>
      <c r="B98" t="s">
        <v>8</v>
      </c>
      <c r="C98" t="s">
        <v>14</v>
      </c>
      <c r="D98" t="s">
        <v>10</v>
      </c>
      <c r="E98">
        <v>39</v>
      </c>
      <c r="F98" t="s">
        <v>176</v>
      </c>
      <c r="G98">
        <v>84684</v>
      </c>
    </row>
    <row r="99" spans="1:7" x14ac:dyDescent="0.3">
      <c r="A99" t="s">
        <v>7</v>
      </c>
      <c r="B99" t="s">
        <v>13</v>
      </c>
      <c r="C99" t="s">
        <v>14</v>
      </c>
      <c r="D99" t="s">
        <v>26</v>
      </c>
      <c r="E99">
        <v>42</v>
      </c>
      <c r="F99" t="s">
        <v>177</v>
      </c>
      <c r="G99">
        <v>137357</v>
      </c>
    </row>
    <row r="100" spans="1:7" x14ac:dyDescent="0.3">
      <c r="A100" t="s">
        <v>146</v>
      </c>
      <c r="B100" t="s">
        <v>23</v>
      </c>
      <c r="C100" t="s">
        <v>49</v>
      </c>
      <c r="D100" t="s">
        <v>10</v>
      </c>
      <c r="E100">
        <v>47</v>
      </c>
      <c r="F100" t="s">
        <v>178</v>
      </c>
      <c r="G100">
        <v>184440</v>
      </c>
    </row>
    <row r="101" spans="1:7" x14ac:dyDescent="0.3">
      <c r="A101" t="s">
        <v>179</v>
      </c>
      <c r="B101" t="s">
        <v>8</v>
      </c>
      <c r="C101" t="s">
        <v>49</v>
      </c>
      <c r="D101" t="s">
        <v>10</v>
      </c>
      <c r="E101">
        <v>55</v>
      </c>
      <c r="F101" t="s">
        <v>180</v>
      </c>
      <c r="G101">
        <v>180758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2026-01-23T15:22:00Z</dcterms:created>
  <dcterms:modified xsi:type="dcterms:W3CDTF">2026-01-26T15:55:32Z</dcterms:modified>
</cp:coreProperties>
</file>