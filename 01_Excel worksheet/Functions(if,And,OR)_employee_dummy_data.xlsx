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8_{92FF3DBF-7EF4-479C-804F-18E033D312C0}" xr6:coauthVersionLast="47" xr6:coauthVersionMax="47" xr10:uidLastSave="{00000000-0000-0000-0000-000000000000}"/>
  <bookViews>
    <workbookView xWindow="36" yWindow="0" windowWidth="11556" windowHeight="12504" xr2:uid="{00000000-000D-0000-FFFF-FFFF00000000}"/>
  </bookViews>
  <sheets>
    <sheet name="Employees" sheetId="1" r:id="rId1"/>
  </sheet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K15" i="1"/>
  <c r="K3" i="1"/>
  <c r="K4" i="1"/>
  <c r="K5" i="1"/>
  <c r="K6" i="1"/>
  <c r="K7" i="1"/>
  <c r="K8" i="1"/>
  <c r="K9" i="1"/>
  <c r="K10" i="1"/>
  <c r="K11" i="1"/>
  <c r="K12" i="1"/>
  <c r="K13" i="1"/>
  <c r="K14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</calcChain>
</file>

<file path=xl/sharedStrings.xml><?xml version="1.0" encoding="utf-8"?>
<sst xmlns="http://schemas.openxmlformats.org/spreadsheetml/2006/main" count="612" uniqueCount="188">
  <si>
    <t>Full Name</t>
  </si>
  <si>
    <t>Job Title</t>
  </si>
  <si>
    <t>Department</t>
  </si>
  <si>
    <t>Gender</t>
  </si>
  <si>
    <t>Age</t>
  </si>
  <si>
    <t>Hire Date</t>
  </si>
  <si>
    <t>Salary</t>
  </si>
  <si>
    <t>Usman Sheikh</t>
  </si>
  <si>
    <t>HR Officer</t>
  </si>
  <si>
    <t>Sales</t>
  </si>
  <si>
    <t>Female</t>
  </si>
  <si>
    <t>2025-10-17</t>
  </si>
  <si>
    <t>Ahmed Malik</t>
  </si>
  <si>
    <t>Manager</t>
  </si>
  <si>
    <t>IT</t>
  </si>
  <si>
    <t>2023-05-25</t>
  </si>
  <si>
    <t>Fatima Khan</t>
  </si>
  <si>
    <t>2024-05-06</t>
  </si>
  <si>
    <t>Fatima Butt</t>
  </si>
  <si>
    <t>Software Engineer</t>
  </si>
  <si>
    <t>Finance</t>
  </si>
  <si>
    <t>2017-01-13</t>
  </si>
  <si>
    <t>Ahmed Shah</t>
  </si>
  <si>
    <t>Support Engineer</t>
  </si>
  <si>
    <t>2020-09-09</t>
  </si>
  <si>
    <t>Ayesha Chaudhry</t>
  </si>
  <si>
    <t>Male</t>
  </si>
  <si>
    <t>2017-09-13</t>
  </si>
  <si>
    <t>Zain Ahmed</t>
  </si>
  <si>
    <t>2025-04-25</t>
  </si>
  <si>
    <t>Hassan Chaudhry</t>
  </si>
  <si>
    <t>2016-05-06</t>
  </si>
  <si>
    <t>Ayesha Malik</t>
  </si>
  <si>
    <t>HR</t>
  </si>
  <si>
    <t>2024-02-08</t>
  </si>
  <si>
    <t>Fatima Iqbal</t>
  </si>
  <si>
    <t>Sales Executive</t>
  </si>
  <si>
    <t>2018-04-13</t>
  </si>
  <si>
    <t>Zain Khan</t>
  </si>
  <si>
    <t>2020-06-19</t>
  </si>
  <si>
    <t>Hamza Butt</t>
  </si>
  <si>
    <t>2025-02-05</t>
  </si>
  <si>
    <t>Hassan Sheikh</t>
  </si>
  <si>
    <t>2021-03-05</t>
  </si>
  <si>
    <t>Hassan Khan</t>
  </si>
  <si>
    <t>Accountant</t>
  </si>
  <si>
    <t>2016-11-13</t>
  </si>
  <si>
    <t>Ali Shah</t>
  </si>
  <si>
    <t>2020-04-20</t>
  </si>
  <si>
    <t>Operations</t>
  </si>
  <si>
    <t>2017-02-09</t>
  </si>
  <si>
    <t>Sara Sheikh</t>
  </si>
  <si>
    <t>2021-11-11</t>
  </si>
  <si>
    <t>Zain Hussain</t>
  </si>
  <si>
    <t>2022-08-03</t>
  </si>
  <si>
    <t>Fatima Malik</t>
  </si>
  <si>
    <t>2022-01-17</t>
  </si>
  <si>
    <t>Sara Ahmed</t>
  </si>
  <si>
    <t>2020-04-17</t>
  </si>
  <si>
    <t>2019-08-03</t>
  </si>
  <si>
    <t>Hamza Chaudhry</t>
  </si>
  <si>
    <t>2025-03-27</t>
  </si>
  <si>
    <t>2024-01-28</t>
  </si>
  <si>
    <t>2025-06-08</t>
  </si>
  <si>
    <t>Fatima Ahmed</t>
  </si>
  <si>
    <t>2018-01-15</t>
  </si>
  <si>
    <t>Sara Butt</t>
  </si>
  <si>
    <t>2018-06-25</t>
  </si>
  <si>
    <t>2019-11-11</t>
  </si>
  <si>
    <t>Ali Malik</t>
  </si>
  <si>
    <t>2024-04-06</t>
  </si>
  <si>
    <t>2016-07-25</t>
  </si>
  <si>
    <t>Ahmed Ahmed</t>
  </si>
  <si>
    <t>2019-12-08</t>
  </si>
  <si>
    <t>2018-02-02</t>
  </si>
  <si>
    <t>Usman Malik</t>
  </si>
  <si>
    <t>2023-06-05</t>
  </si>
  <si>
    <t>Ayesha Iqbal</t>
  </si>
  <si>
    <t>2018-10-09</t>
  </si>
  <si>
    <t>Fatima Hussain</t>
  </si>
  <si>
    <t>2019-12-04</t>
  </si>
  <si>
    <t>Sara Raza</t>
  </si>
  <si>
    <t>2025-12-08</t>
  </si>
  <si>
    <t>Hamza Hussain</t>
  </si>
  <si>
    <t>2019-02-12</t>
  </si>
  <si>
    <t>Ali Hussain</t>
  </si>
  <si>
    <t>2016-02-20</t>
  </si>
  <si>
    <t>Hamza Khan</t>
  </si>
  <si>
    <t>2017-11-30</t>
  </si>
  <si>
    <t>Ali Raza</t>
  </si>
  <si>
    <t>2024-10-01</t>
  </si>
  <si>
    <t>2024-02-26</t>
  </si>
  <si>
    <t>2019-05-03</t>
  </si>
  <si>
    <t>Hassan Butt</t>
  </si>
  <si>
    <t>2023-08-16</t>
  </si>
  <si>
    <t>Ayesha Raza</t>
  </si>
  <si>
    <t>2020-11-18</t>
  </si>
  <si>
    <t>2022-06-07</t>
  </si>
  <si>
    <t>2017-06-22</t>
  </si>
  <si>
    <t>Zain Iqbal</t>
  </si>
  <si>
    <t>2017-05-18</t>
  </si>
  <si>
    <t>Noor Chaudhry</t>
  </si>
  <si>
    <t>2020-11-11</t>
  </si>
  <si>
    <t>Hassan Raza</t>
  </si>
  <si>
    <t>2017-11-14</t>
  </si>
  <si>
    <t>Noor Sheikh</t>
  </si>
  <si>
    <t>2016-09-12</t>
  </si>
  <si>
    <t>Ali Khan</t>
  </si>
  <si>
    <t>2017-11-15</t>
  </si>
  <si>
    <t>Fatima Sheikh</t>
  </si>
  <si>
    <t>2021-08-30</t>
  </si>
  <si>
    <t>2018-07-05</t>
  </si>
  <si>
    <t>2021-04-12</t>
  </si>
  <si>
    <t>Noor Shah</t>
  </si>
  <si>
    <t>2023-06-08</t>
  </si>
  <si>
    <t>2018-12-05</t>
  </si>
  <si>
    <t>2019-07-04</t>
  </si>
  <si>
    <t>2020-06-28</t>
  </si>
  <si>
    <t>Sara Khan</t>
  </si>
  <si>
    <t>2022-11-08</t>
  </si>
  <si>
    <t>Hassan Shah</t>
  </si>
  <si>
    <t>2020-04-21</t>
  </si>
  <si>
    <t>Hamza Ahmed</t>
  </si>
  <si>
    <t>2024-08-08</t>
  </si>
  <si>
    <t>2020-08-24</t>
  </si>
  <si>
    <t>2022-04-18</t>
  </si>
  <si>
    <t>Ahmed Iqbal</t>
  </si>
  <si>
    <t>2019-08-13</t>
  </si>
  <si>
    <t>Fatima Raza</t>
  </si>
  <si>
    <t>2021-06-05</t>
  </si>
  <si>
    <t>Usman Shah</t>
  </si>
  <si>
    <t>2023-02-12</t>
  </si>
  <si>
    <t>Usman Chaudhry</t>
  </si>
  <si>
    <t>2024-11-12</t>
  </si>
  <si>
    <t>2018-09-26</t>
  </si>
  <si>
    <t>2024-09-09</t>
  </si>
  <si>
    <t>Ayesha Khan</t>
  </si>
  <si>
    <t>2023-01-14</t>
  </si>
  <si>
    <t>2023-06-01</t>
  </si>
  <si>
    <t>Ahmed Chaudhry</t>
  </si>
  <si>
    <t>2018-12-15</t>
  </si>
  <si>
    <t>2019-09-02</t>
  </si>
  <si>
    <t>Usman Butt</t>
  </si>
  <si>
    <t>2017-11-08</t>
  </si>
  <si>
    <t>Zain Butt</t>
  </si>
  <si>
    <t>2024-11-07</t>
  </si>
  <si>
    <t>Fatima Chaudhry</t>
  </si>
  <si>
    <t>2017-10-07</t>
  </si>
  <si>
    <t>2023-12-16</t>
  </si>
  <si>
    <t>Noor Iqbal</t>
  </si>
  <si>
    <t>2022-03-31</t>
  </si>
  <si>
    <t>2022-02-26</t>
  </si>
  <si>
    <t>2021-08-23</t>
  </si>
  <si>
    <t>2023-05-04</t>
  </si>
  <si>
    <t>2019-03-18</t>
  </si>
  <si>
    <t>Ayesha Ahmed</t>
  </si>
  <si>
    <t>2020-05-05</t>
  </si>
  <si>
    <t>2017-07-24</t>
  </si>
  <si>
    <t>2017-11-27</t>
  </si>
  <si>
    <t>2019-09-05</t>
  </si>
  <si>
    <t>2021-08-19</t>
  </si>
  <si>
    <t>Sara Chaudhry</t>
  </si>
  <si>
    <t>2025-07-04</t>
  </si>
  <si>
    <t>2018-11-01</t>
  </si>
  <si>
    <t>Usman Raza</t>
  </si>
  <si>
    <t>2016-06-14</t>
  </si>
  <si>
    <t>Noor Butt</t>
  </si>
  <si>
    <t>2024-02-18</t>
  </si>
  <si>
    <t>2017-03-25</t>
  </si>
  <si>
    <t>Usman Ahmed</t>
  </si>
  <si>
    <t>2022-01-21</t>
  </si>
  <si>
    <t>2020-06-07</t>
  </si>
  <si>
    <t>2021-03-23</t>
  </si>
  <si>
    <t>2017-07-04</t>
  </si>
  <si>
    <t>2020-05-31</t>
  </si>
  <si>
    <t>Usman Iqbal</t>
  </si>
  <si>
    <t>2022-11-13</t>
  </si>
  <si>
    <t>2017-11-24</t>
  </si>
  <si>
    <t>2021-07-24</t>
  </si>
  <si>
    <t>Zain Chaudhry</t>
  </si>
  <si>
    <t>2021-11-08</t>
  </si>
  <si>
    <t>Conditions</t>
  </si>
  <si>
    <t>If</t>
  </si>
  <si>
    <t>AND</t>
  </si>
  <si>
    <t>OR</t>
  </si>
  <si>
    <t>Country</t>
  </si>
  <si>
    <t>China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</si>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</sst>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="69" zoomScaleNormal="69" workbookViewId="0">
      <selection activeCell="K2" sqref="K2"/>
    </sheetView>
  </sheetViews>
  <sheetFormatPr defaultRowHeight="14.4" x14ac:dyDescent="0.3"/>
  <cols>
    <col min="1" max="1" width="16.88671875" bestFit="1" customWidth="1"/>
    <col min="2" max="2" width="17" bestFit="1" customWidth="1"/>
    <col min="3" max="3" width="11.109375" bestFit="1" customWidth="1"/>
    <col min="4" max="4" width="12.6640625" bestFit="1" customWidth="1"/>
    <col min="7" max="7" width="11.33203125" customWidth="1"/>
    <col min="8" max="8" width="7.88671875" bestFit="1" customWidth="1"/>
    <col min="9" max="9" width="10.77734375" bestFit="1" customWidth="1"/>
    <col min="10" max="10" width="9.44140625" customWidth="1"/>
    <col min="11" max="11" width="10.109375" customWidth="1"/>
    <col min="12" max="12" width="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185</v>
      </c>
      <c r="E1" t="s">
        <v>3</v>
      </c>
      <c r="F1" t="s">
        <v>4</v>
      </c>
      <c r="G1" t="s">
        <v>5</v>
      </c>
      <c r="H1" t="s">
        <v>6</v>
      </c>
      <c r="I1" t="s">
        <v>181</v>
      </c>
      <c r="J1" t="s">
        <v>182</v>
      </c>
      <c r="K1" t="s">
        <v>183</v>
      </c>
      <c r="L1" t="s">
        <v>184</v>
      </c>
    </row>
    <row r="2" spans="1:12" x14ac:dyDescent="0.3">
      <c r="A2" t="s">
        <v>7</v>
      </c>
      <c r="B2" t="s">
        <v>8</v>
      </c>
      <c r="C2" t="s">
        <v>9</v>
      </c>
      <c r="D2" t="s">
        <v>186</v>
      </c>
      <c r="E2" t="s">
        <v>10</v>
      </c>
      <c r="F2">
        <v>22</v>
      </c>
      <c r="G2" t="s">
        <v>11</v>
      </c>
      <c r="H2">
        <v>170640</v>
      </c>
      <c r="I2" t="b">
        <f>F2&gt;50</f>
        <v>0</v>
      </c>
      <c r="J2" t="str">
        <f>IF(F2&gt;=50,"Bonus","No Bonus")</f>
        <v>No Bonus</v>
      </c>
      <c r="K2" t="str">
        <f>IF(AND(C2="IT",D2="United States"),"Included","Excluded")</f>
        <v>Excluded</v>
      </c>
      <c r="L2" t="str">
        <f>IF(OR(E2="Female",D2="China"),"Included","Excluded")</f>
        <v>Included</v>
      </c>
    </row>
    <row r="3" spans="1:12" x14ac:dyDescent="0.3">
      <c r="A3" t="s">
        <v>12</v>
      </c>
      <c r="B3" t="s">
        <v>13</v>
      </c>
      <c r="C3" t="s">
        <v>14</v>
      </c>
      <c r="D3" t="s">
        <v>187</v>
      </c>
      <c r="E3" t="s">
        <v>10</v>
      </c>
      <c r="F3">
        <v>22</v>
      </c>
      <c r="G3" t="s">
        <v>15</v>
      </c>
      <c r="H3">
        <v>59278</v>
      </c>
      <c r="I3" t="b">
        <f t="shared" ref="I3:I66" si="0">F3&gt;50</f>
        <v>0</v>
      </c>
      <c r="J3" t="str">
        <f t="shared" ref="J3:J66" si="1">IF(F3&gt;=50,"Bonus","No Bonus")</f>
        <v>No Bonus</v>
      </c>
      <c r="K3" t="str">
        <f t="shared" ref="K3:K66" si="2">IF(AND(C3="IT",D3="United States"),"Included","Excluded")</f>
        <v>Included</v>
      </c>
      <c r="L3" t="str">
        <f t="shared" ref="L3:L66" si="3">IF(OR(E3="Female",D3="China"),"Included","Excluded")</f>
        <v>Included</v>
      </c>
    </row>
    <row r="4" spans="1:12" x14ac:dyDescent="0.3">
      <c r="A4" t="s">
        <v>16</v>
      </c>
      <c r="B4" t="s">
        <v>8</v>
      </c>
      <c r="C4" t="s">
        <v>14</v>
      </c>
      <c r="D4" t="s">
        <v>186</v>
      </c>
      <c r="E4" t="s">
        <v>10</v>
      </c>
      <c r="F4">
        <v>48</v>
      </c>
      <c r="G4" t="s">
        <v>17</v>
      </c>
      <c r="H4">
        <v>191837</v>
      </c>
      <c r="I4" t="b">
        <f t="shared" si="0"/>
        <v>0</v>
      </c>
      <c r="J4" t="str">
        <f t="shared" si="1"/>
        <v>No Bonus</v>
      </c>
      <c r="K4" t="str">
        <f t="shared" si="2"/>
        <v>Excluded</v>
      </c>
      <c r="L4" t="str">
        <f t="shared" si="3"/>
        <v>Included</v>
      </c>
    </row>
    <row r="5" spans="1:12" x14ac:dyDescent="0.3">
      <c r="A5" t="s">
        <v>18</v>
      </c>
      <c r="B5" t="s">
        <v>19</v>
      </c>
      <c r="C5" t="s">
        <v>20</v>
      </c>
      <c r="D5" t="s">
        <v>187</v>
      </c>
      <c r="E5" t="s">
        <v>10</v>
      </c>
      <c r="F5">
        <v>39</v>
      </c>
      <c r="G5" t="s">
        <v>21</v>
      </c>
      <c r="H5">
        <v>120323</v>
      </c>
      <c r="I5" t="b">
        <f t="shared" si="0"/>
        <v>0</v>
      </c>
      <c r="J5" t="str">
        <f t="shared" si="1"/>
        <v>No Bonus</v>
      </c>
      <c r="K5" t="str">
        <f t="shared" si="2"/>
        <v>Excluded</v>
      </c>
      <c r="L5" t="str">
        <f t="shared" si="3"/>
        <v>Included</v>
      </c>
    </row>
    <row r="6" spans="1:12" x14ac:dyDescent="0.3">
      <c r="A6" t="s">
        <v>22</v>
      </c>
      <c r="B6" t="s">
        <v>23</v>
      </c>
      <c r="C6" t="s">
        <v>14</v>
      </c>
      <c r="D6" t="s">
        <v>187</v>
      </c>
      <c r="E6" t="s">
        <v>10</v>
      </c>
      <c r="F6">
        <v>54</v>
      </c>
      <c r="G6" t="s">
        <v>24</v>
      </c>
      <c r="H6">
        <v>69689</v>
      </c>
      <c r="I6" t="b">
        <f t="shared" si="0"/>
        <v>1</v>
      </c>
      <c r="J6" t="str">
        <f t="shared" si="1"/>
        <v>Bonus</v>
      </c>
      <c r="K6" t="str">
        <f t="shared" si="2"/>
        <v>Included</v>
      </c>
      <c r="L6" t="str">
        <f t="shared" si="3"/>
        <v>Included</v>
      </c>
    </row>
    <row r="7" spans="1:12" x14ac:dyDescent="0.3">
      <c r="A7" t="s">
        <v>25</v>
      </c>
      <c r="B7" t="s">
        <v>19</v>
      </c>
      <c r="C7" t="s">
        <v>14</v>
      </c>
      <c r="D7" t="s">
        <v>187</v>
      </c>
      <c r="E7" t="s">
        <v>26</v>
      </c>
      <c r="F7">
        <v>38</v>
      </c>
      <c r="G7" t="s">
        <v>27</v>
      </c>
      <c r="H7">
        <v>141024</v>
      </c>
      <c r="I7" t="b">
        <f t="shared" si="0"/>
        <v>0</v>
      </c>
      <c r="J7" t="str">
        <f t="shared" si="1"/>
        <v>No Bonus</v>
      </c>
      <c r="K7" t="str">
        <f t="shared" si="2"/>
        <v>Included</v>
      </c>
      <c r="L7" t="str">
        <f t="shared" si="3"/>
        <v>Excluded</v>
      </c>
    </row>
    <row r="8" spans="1:12" x14ac:dyDescent="0.3">
      <c r="A8" t="s">
        <v>28</v>
      </c>
      <c r="B8" t="s">
        <v>23</v>
      </c>
      <c r="C8" t="s">
        <v>14</v>
      </c>
      <c r="D8" t="s">
        <v>187</v>
      </c>
      <c r="E8" t="s">
        <v>10</v>
      </c>
      <c r="F8">
        <v>39</v>
      </c>
      <c r="G8" t="s">
        <v>29</v>
      </c>
      <c r="H8">
        <v>82135</v>
      </c>
      <c r="I8" t="b">
        <f t="shared" si="0"/>
        <v>0</v>
      </c>
      <c r="J8" t="str">
        <f t="shared" si="1"/>
        <v>No Bonus</v>
      </c>
      <c r="K8" t="str">
        <f t="shared" si="2"/>
        <v>Included</v>
      </c>
      <c r="L8" t="str">
        <f t="shared" si="3"/>
        <v>Included</v>
      </c>
    </row>
    <row r="9" spans="1:12" x14ac:dyDescent="0.3">
      <c r="A9" t="s">
        <v>30</v>
      </c>
      <c r="B9" t="s">
        <v>13</v>
      </c>
      <c r="C9" t="s">
        <v>20</v>
      </c>
      <c r="D9" t="s">
        <v>186</v>
      </c>
      <c r="E9" t="s">
        <v>26</v>
      </c>
      <c r="F9">
        <v>47</v>
      </c>
      <c r="G9" t="s">
        <v>31</v>
      </c>
      <c r="H9">
        <v>165080</v>
      </c>
      <c r="I9" t="b">
        <f t="shared" si="0"/>
        <v>0</v>
      </c>
      <c r="J9" t="str">
        <f t="shared" si="1"/>
        <v>No Bonus</v>
      </c>
      <c r="K9" t="str">
        <f t="shared" si="2"/>
        <v>Excluded</v>
      </c>
      <c r="L9" t="str">
        <f t="shared" si="3"/>
        <v>Included</v>
      </c>
    </row>
    <row r="10" spans="1:12" x14ac:dyDescent="0.3">
      <c r="A10" t="s">
        <v>32</v>
      </c>
      <c r="B10" t="s">
        <v>23</v>
      </c>
      <c r="C10" t="s">
        <v>33</v>
      </c>
      <c r="D10" t="s">
        <v>186</v>
      </c>
      <c r="E10" t="s">
        <v>26</v>
      </c>
      <c r="F10">
        <v>37</v>
      </c>
      <c r="G10" t="s">
        <v>34</v>
      </c>
      <c r="H10">
        <v>159520</v>
      </c>
      <c r="I10" t="b">
        <f t="shared" si="0"/>
        <v>0</v>
      </c>
      <c r="J10" t="str">
        <f t="shared" si="1"/>
        <v>No Bonus</v>
      </c>
      <c r="K10" t="str">
        <f t="shared" si="2"/>
        <v>Excluded</v>
      </c>
      <c r="L10" t="str">
        <f t="shared" si="3"/>
        <v>Included</v>
      </c>
    </row>
    <row r="11" spans="1:12" x14ac:dyDescent="0.3">
      <c r="A11" t="s">
        <v>35</v>
      </c>
      <c r="B11" t="s">
        <v>36</v>
      </c>
      <c r="C11" t="s">
        <v>9</v>
      </c>
      <c r="D11" t="s">
        <v>186</v>
      </c>
      <c r="E11" t="s">
        <v>10</v>
      </c>
      <c r="F11">
        <v>39</v>
      </c>
      <c r="G11" t="s">
        <v>37</v>
      </c>
      <c r="H11">
        <v>150084</v>
      </c>
      <c r="I11" t="b">
        <f t="shared" si="0"/>
        <v>0</v>
      </c>
      <c r="J11" t="str">
        <f t="shared" si="1"/>
        <v>No Bonus</v>
      </c>
      <c r="K11" t="str">
        <f t="shared" si="2"/>
        <v>Excluded</v>
      </c>
      <c r="L11" t="str">
        <f t="shared" si="3"/>
        <v>Included</v>
      </c>
    </row>
    <row r="12" spans="1:12" x14ac:dyDescent="0.3">
      <c r="A12" t="s">
        <v>38</v>
      </c>
      <c r="B12" t="s">
        <v>23</v>
      </c>
      <c r="C12" t="s">
        <v>33</v>
      </c>
      <c r="D12" t="s">
        <v>186</v>
      </c>
      <c r="E12" t="s">
        <v>10</v>
      </c>
      <c r="F12">
        <v>32</v>
      </c>
      <c r="G12" t="s">
        <v>39</v>
      </c>
      <c r="H12">
        <v>152267</v>
      </c>
      <c r="I12" t="b">
        <f t="shared" si="0"/>
        <v>0</v>
      </c>
      <c r="J12" t="str">
        <f t="shared" si="1"/>
        <v>No Bonus</v>
      </c>
      <c r="K12" t="str">
        <f t="shared" si="2"/>
        <v>Excluded</v>
      </c>
      <c r="L12" t="str">
        <f t="shared" si="3"/>
        <v>Included</v>
      </c>
    </row>
    <row r="13" spans="1:12" x14ac:dyDescent="0.3">
      <c r="A13" t="s">
        <v>40</v>
      </c>
      <c r="B13" t="s">
        <v>19</v>
      </c>
      <c r="C13" t="s">
        <v>9</v>
      </c>
      <c r="D13" t="s">
        <v>186</v>
      </c>
      <c r="E13" t="s">
        <v>10</v>
      </c>
      <c r="F13">
        <v>22</v>
      </c>
      <c r="G13" t="s">
        <v>41</v>
      </c>
      <c r="H13">
        <v>115086</v>
      </c>
      <c r="I13" t="b">
        <f t="shared" si="0"/>
        <v>0</v>
      </c>
      <c r="J13" t="str">
        <f t="shared" si="1"/>
        <v>No Bonus</v>
      </c>
      <c r="K13" t="str">
        <f t="shared" si="2"/>
        <v>Excluded</v>
      </c>
      <c r="L13" t="str">
        <f t="shared" si="3"/>
        <v>Included</v>
      </c>
    </row>
    <row r="14" spans="1:12" x14ac:dyDescent="0.3">
      <c r="A14" t="s">
        <v>42</v>
      </c>
      <c r="B14" t="s">
        <v>13</v>
      </c>
      <c r="C14" t="s">
        <v>9</v>
      </c>
      <c r="D14" t="s">
        <v>186</v>
      </c>
      <c r="E14" t="s">
        <v>26</v>
      </c>
      <c r="F14">
        <v>51</v>
      </c>
      <c r="G14" t="s">
        <v>43</v>
      </c>
      <c r="H14">
        <v>167488</v>
      </c>
      <c r="I14" t="b">
        <f t="shared" si="0"/>
        <v>1</v>
      </c>
      <c r="J14" t="str">
        <f t="shared" si="1"/>
        <v>Bonus</v>
      </c>
      <c r="K14" t="str">
        <f t="shared" si="2"/>
        <v>Excluded</v>
      </c>
      <c r="L14" t="str">
        <f t="shared" si="3"/>
        <v>Included</v>
      </c>
    </row>
    <row r="15" spans="1:12" x14ac:dyDescent="0.3">
      <c r="A15" t="s">
        <v>44</v>
      </c>
      <c r="B15" t="s">
        <v>45</v>
      </c>
      <c r="C15" t="s">
        <v>14</v>
      </c>
      <c r="D15" t="s">
        <v>186</v>
      </c>
      <c r="E15" t="s">
        <v>10</v>
      </c>
      <c r="F15">
        <v>44</v>
      </c>
      <c r="G15" t="s">
        <v>46</v>
      </c>
      <c r="H15">
        <v>183741</v>
      </c>
      <c r="I15" t="b">
        <f t="shared" si="0"/>
        <v>0</v>
      </c>
      <c r="J15" t="str">
        <f t="shared" si="1"/>
        <v>No Bonus</v>
      </c>
      <c r="K15" t="str">
        <f>IF(AND(C15="IT",D15="United States"),"Included","Excluded")</f>
        <v>Excluded</v>
      </c>
      <c r="L15" t="str">
        <f t="shared" si="3"/>
        <v>Included</v>
      </c>
    </row>
    <row r="16" spans="1:12" x14ac:dyDescent="0.3">
      <c r="A16" t="s">
        <v>47</v>
      </c>
      <c r="B16" t="s">
        <v>36</v>
      </c>
      <c r="C16" t="s">
        <v>33</v>
      </c>
      <c r="D16" t="s">
        <v>187</v>
      </c>
      <c r="E16" t="s">
        <v>10</v>
      </c>
      <c r="F16">
        <v>53</v>
      </c>
      <c r="G16" t="s">
        <v>48</v>
      </c>
      <c r="H16">
        <v>156166</v>
      </c>
      <c r="I16" t="b">
        <f t="shared" si="0"/>
        <v>1</v>
      </c>
      <c r="J16" t="str">
        <f t="shared" si="1"/>
        <v>Bonus</v>
      </c>
      <c r="K16" t="str">
        <f t="shared" si="2"/>
        <v>Excluded</v>
      </c>
      <c r="L16" t="str">
        <f t="shared" si="3"/>
        <v>Included</v>
      </c>
    </row>
    <row r="17" spans="1:12" x14ac:dyDescent="0.3">
      <c r="A17" t="s">
        <v>32</v>
      </c>
      <c r="B17" t="s">
        <v>36</v>
      </c>
      <c r="C17" t="s">
        <v>49</v>
      </c>
      <c r="D17" t="s">
        <v>187</v>
      </c>
      <c r="E17" t="s">
        <v>10</v>
      </c>
      <c r="F17">
        <v>40</v>
      </c>
      <c r="G17" t="s">
        <v>50</v>
      </c>
      <c r="H17">
        <v>64605</v>
      </c>
      <c r="I17" t="b">
        <f t="shared" si="0"/>
        <v>0</v>
      </c>
      <c r="J17" t="str">
        <f t="shared" si="1"/>
        <v>No Bonus</v>
      </c>
      <c r="K17" t="str">
        <f t="shared" si="2"/>
        <v>Excluded</v>
      </c>
      <c r="L17" t="str">
        <f t="shared" si="3"/>
        <v>Included</v>
      </c>
    </row>
    <row r="18" spans="1:12" x14ac:dyDescent="0.3">
      <c r="A18" t="s">
        <v>51</v>
      </c>
      <c r="B18" t="s">
        <v>19</v>
      </c>
      <c r="C18" t="s">
        <v>14</v>
      </c>
      <c r="D18" t="s">
        <v>187</v>
      </c>
      <c r="E18" t="s">
        <v>26</v>
      </c>
      <c r="F18">
        <v>46</v>
      </c>
      <c r="G18" t="s">
        <v>52</v>
      </c>
      <c r="H18">
        <v>126243</v>
      </c>
      <c r="I18" t="b">
        <f t="shared" si="0"/>
        <v>0</v>
      </c>
      <c r="J18" t="str">
        <f t="shared" si="1"/>
        <v>No Bonus</v>
      </c>
      <c r="K18" t="str">
        <f t="shared" si="2"/>
        <v>Included</v>
      </c>
      <c r="L18" t="str">
        <f t="shared" si="3"/>
        <v>Excluded</v>
      </c>
    </row>
    <row r="19" spans="1:12" x14ac:dyDescent="0.3">
      <c r="A19" t="s">
        <v>53</v>
      </c>
      <c r="B19" t="s">
        <v>8</v>
      </c>
      <c r="C19" t="s">
        <v>20</v>
      </c>
      <c r="D19" t="s">
        <v>187</v>
      </c>
      <c r="E19" t="s">
        <v>26</v>
      </c>
      <c r="F19">
        <v>40</v>
      </c>
      <c r="G19" t="s">
        <v>54</v>
      </c>
      <c r="H19">
        <v>62382</v>
      </c>
      <c r="I19" t="b">
        <f t="shared" si="0"/>
        <v>0</v>
      </c>
      <c r="J19" t="str">
        <f t="shared" si="1"/>
        <v>No Bonus</v>
      </c>
      <c r="K19" t="str">
        <f t="shared" si="2"/>
        <v>Excluded</v>
      </c>
      <c r="L19" t="str">
        <f t="shared" si="3"/>
        <v>Excluded</v>
      </c>
    </row>
    <row r="20" spans="1:12" x14ac:dyDescent="0.3">
      <c r="A20" t="s">
        <v>55</v>
      </c>
      <c r="B20" t="s">
        <v>23</v>
      </c>
      <c r="C20" t="s">
        <v>9</v>
      </c>
      <c r="D20" t="s">
        <v>186</v>
      </c>
      <c r="E20" t="s">
        <v>10</v>
      </c>
      <c r="F20">
        <v>45</v>
      </c>
      <c r="G20" t="s">
        <v>56</v>
      </c>
      <c r="H20">
        <v>65601</v>
      </c>
      <c r="I20" t="b">
        <f t="shared" si="0"/>
        <v>0</v>
      </c>
      <c r="J20" t="str">
        <f t="shared" si="1"/>
        <v>No Bonus</v>
      </c>
      <c r="K20" t="str">
        <f t="shared" si="2"/>
        <v>Excluded</v>
      </c>
      <c r="L20" t="str">
        <f t="shared" si="3"/>
        <v>Included</v>
      </c>
    </row>
    <row r="21" spans="1:12" x14ac:dyDescent="0.3">
      <c r="A21" t="s">
        <v>57</v>
      </c>
      <c r="B21" t="s">
        <v>13</v>
      </c>
      <c r="C21" t="s">
        <v>49</v>
      </c>
      <c r="D21" t="s">
        <v>187</v>
      </c>
      <c r="E21" t="s">
        <v>26</v>
      </c>
      <c r="F21">
        <v>23</v>
      </c>
      <c r="G21" t="s">
        <v>58</v>
      </c>
      <c r="H21">
        <v>61378</v>
      </c>
      <c r="I21" t="b">
        <f t="shared" si="0"/>
        <v>0</v>
      </c>
      <c r="J21" t="str">
        <f t="shared" si="1"/>
        <v>No Bonus</v>
      </c>
      <c r="K21" t="str">
        <f t="shared" si="2"/>
        <v>Excluded</v>
      </c>
      <c r="L21" t="str">
        <f t="shared" si="3"/>
        <v>Excluded</v>
      </c>
    </row>
    <row r="22" spans="1:12" x14ac:dyDescent="0.3">
      <c r="A22" t="s">
        <v>7</v>
      </c>
      <c r="B22" t="s">
        <v>19</v>
      </c>
      <c r="C22" t="s">
        <v>9</v>
      </c>
      <c r="D22" t="s">
        <v>186</v>
      </c>
      <c r="E22" t="s">
        <v>26</v>
      </c>
      <c r="F22">
        <v>22</v>
      </c>
      <c r="G22" t="s">
        <v>59</v>
      </c>
      <c r="H22">
        <v>190368</v>
      </c>
      <c r="I22" t="b">
        <f t="shared" si="0"/>
        <v>0</v>
      </c>
      <c r="J22" t="str">
        <f t="shared" si="1"/>
        <v>No Bonus</v>
      </c>
      <c r="K22" t="str">
        <f t="shared" si="2"/>
        <v>Excluded</v>
      </c>
      <c r="L22" t="str">
        <f t="shared" si="3"/>
        <v>Included</v>
      </c>
    </row>
    <row r="23" spans="1:12" x14ac:dyDescent="0.3">
      <c r="A23" t="s">
        <v>60</v>
      </c>
      <c r="B23" t="s">
        <v>36</v>
      </c>
      <c r="C23" t="s">
        <v>49</v>
      </c>
      <c r="D23" t="s">
        <v>186</v>
      </c>
      <c r="E23" t="s">
        <v>10</v>
      </c>
      <c r="F23">
        <v>50</v>
      </c>
      <c r="G23" t="s">
        <v>61</v>
      </c>
      <c r="H23">
        <v>120990</v>
      </c>
      <c r="I23" t="b">
        <f t="shared" si="0"/>
        <v>0</v>
      </c>
      <c r="J23" t="str">
        <f t="shared" si="1"/>
        <v>Bonus</v>
      </c>
      <c r="K23" t="str">
        <f t="shared" si="2"/>
        <v>Excluded</v>
      </c>
      <c r="L23" t="str">
        <f t="shared" si="3"/>
        <v>Included</v>
      </c>
    </row>
    <row r="24" spans="1:12" x14ac:dyDescent="0.3">
      <c r="A24" t="s">
        <v>22</v>
      </c>
      <c r="B24" t="s">
        <v>19</v>
      </c>
      <c r="C24" t="s">
        <v>20</v>
      </c>
      <c r="D24" t="s">
        <v>187</v>
      </c>
      <c r="E24" t="s">
        <v>10</v>
      </c>
      <c r="F24">
        <v>41</v>
      </c>
      <c r="G24" t="s">
        <v>62</v>
      </c>
      <c r="H24">
        <v>154651</v>
      </c>
      <c r="I24" t="b">
        <f t="shared" si="0"/>
        <v>0</v>
      </c>
      <c r="J24" t="str">
        <f t="shared" si="1"/>
        <v>No Bonus</v>
      </c>
      <c r="K24" t="str">
        <f t="shared" si="2"/>
        <v>Excluded</v>
      </c>
      <c r="L24" t="str">
        <f t="shared" si="3"/>
        <v>Included</v>
      </c>
    </row>
    <row r="25" spans="1:12" x14ac:dyDescent="0.3">
      <c r="A25" t="s">
        <v>35</v>
      </c>
      <c r="B25" t="s">
        <v>19</v>
      </c>
      <c r="C25" t="s">
        <v>14</v>
      </c>
      <c r="D25" t="s">
        <v>187</v>
      </c>
      <c r="E25" t="s">
        <v>10</v>
      </c>
      <c r="F25">
        <v>28</v>
      </c>
      <c r="G25" t="s">
        <v>63</v>
      </c>
      <c r="H25">
        <v>117364</v>
      </c>
      <c r="I25" t="b">
        <f t="shared" si="0"/>
        <v>0</v>
      </c>
      <c r="J25" t="str">
        <f t="shared" si="1"/>
        <v>No Bonus</v>
      </c>
      <c r="K25" t="str">
        <f t="shared" si="2"/>
        <v>Included</v>
      </c>
      <c r="L25" t="str">
        <f t="shared" si="3"/>
        <v>Included</v>
      </c>
    </row>
    <row r="26" spans="1:12" x14ac:dyDescent="0.3">
      <c r="A26" t="s">
        <v>64</v>
      </c>
      <c r="B26" t="s">
        <v>8</v>
      </c>
      <c r="C26" t="s">
        <v>33</v>
      </c>
      <c r="D26" t="s">
        <v>186</v>
      </c>
      <c r="E26" t="s">
        <v>10</v>
      </c>
      <c r="F26">
        <v>54</v>
      </c>
      <c r="G26" t="s">
        <v>65</v>
      </c>
      <c r="H26">
        <v>121039</v>
      </c>
      <c r="I26" t="b">
        <f t="shared" si="0"/>
        <v>1</v>
      </c>
      <c r="J26" t="str">
        <f t="shared" si="1"/>
        <v>Bonus</v>
      </c>
      <c r="K26" t="str">
        <f t="shared" si="2"/>
        <v>Excluded</v>
      </c>
      <c r="L26" t="str">
        <f t="shared" si="3"/>
        <v>Included</v>
      </c>
    </row>
    <row r="27" spans="1:12" x14ac:dyDescent="0.3">
      <c r="A27" t="s">
        <v>66</v>
      </c>
      <c r="B27" t="s">
        <v>36</v>
      </c>
      <c r="C27" t="s">
        <v>9</v>
      </c>
      <c r="D27" t="s">
        <v>186</v>
      </c>
      <c r="E27" t="s">
        <v>26</v>
      </c>
      <c r="F27">
        <v>34</v>
      </c>
      <c r="G27" t="s">
        <v>67</v>
      </c>
      <c r="H27">
        <v>75080</v>
      </c>
      <c r="I27" t="b">
        <f t="shared" si="0"/>
        <v>0</v>
      </c>
      <c r="J27" t="str">
        <f t="shared" si="1"/>
        <v>No Bonus</v>
      </c>
      <c r="K27" t="str">
        <f t="shared" si="2"/>
        <v>Excluded</v>
      </c>
      <c r="L27" t="str">
        <f t="shared" si="3"/>
        <v>Included</v>
      </c>
    </row>
    <row r="28" spans="1:12" x14ac:dyDescent="0.3">
      <c r="A28" t="s">
        <v>60</v>
      </c>
      <c r="B28" t="s">
        <v>45</v>
      </c>
      <c r="C28" t="s">
        <v>20</v>
      </c>
      <c r="D28" t="s">
        <v>187</v>
      </c>
      <c r="E28" t="s">
        <v>10</v>
      </c>
      <c r="F28">
        <v>43</v>
      </c>
      <c r="G28" t="s">
        <v>68</v>
      </c>
      <c r="H28">
        <v>151162</v>
      </c>
      <c r="I28" t="b">
        <f t="shared" si="0"/>
        <v>0</v>
      </c>
      <c r="J28" t="str">
        <f t="shared" si="1"/>
        <v>No Bonus</v>
      </c>
      <c r="K28" t="str">
        <f t="shared" si="2"/>
        <v>Excluded</v>
      </c>
      <c r="L28" t="str">
        <f t="shared" si="3"/>
        <v>Included</v>
      </c>
    </row>
    <row r="29" spans="1:12" x14ac:dyDescent="0.3">
      <c r="A29" t="s">
        <v>69</v>
      </c>
      <c r="B29" t="s">
        <v>23</v>
      </c>
      <c r="C29" t="s">
        <v>14</v>
      </c>
      <c r="D29" t="s">
        <v>187</v>
      </c>
      <c r="E29" t="s">
        <v>10</v>
      </c>
      <c r="F29">
        <v>44</v>
      </c>
      <c r="G29" t="s">
        <v>70</v>
      </c>
      <c r="H29">
        <v>75113</v>
      </c>
      <c r="I29" t="b">
        <f t="shared" si="0"/>
        <v>0</v>
      </c>
      <c r="J29" t="str">
        <f t="shared" si="1"/>
        <v>No Bonus</v>
      </c>
      <c r="K29" t="str">
        <f t="shared" si="2"/>
        <v>Included</v>
      </c>
      <c r="L29" t="str">
        <f t="shared" si="3"/>
        <v>Included</v>
      </c>
    </row>
    <row r="30" spans="1:12" x14ac:dyDescent="0.3">
      <c r="A30" t="s">
        <v>44</v>
      </c>
      <c r="B30" t="s">
        <v>36</v>
      </c>
      <c r="C30" t="s">
        <v>14</v>
      </c>
      <c r="D30" t="s">
        <v>187</v>
      </c>
      <c r="E30" t="s">
        <v>26</v>
      </c>
      <c r="F30">
        <v>35</v>
      </c>
      <c r="G30" t="s">
        <v>71</v>
      </c>
      <c r="H30">
        <v>47917</v>
      </c>
      <c r="I30" t="b">
        <f t="shared" si="0"/>
        <v>0</v>
      </c>
      <c r="J30" t="str">
        <f t="shared" si="1"/>
        <v>No Bonus</v>
      </c>
      <c r="K30" t="str">
        <f t="shared" si="2"/>
        <v>Included</v>
      </c>
      <c r="L30" t="str">
        <f t="shared" si="3"/>
        <v>Excluded</v>
      </c>
    </row>
    <row r="31" spans="1:12" x14ac:dyDescent="0.3">
      <c r="A31" t="s">
        <v>72</v>
      </c>
      <c r="B31" t="s">
        <v>23</v>
      </c>
      <c r="C31" t="s">
        <v>20</v>
      </c>
      <c r="D31" t="s">
        <v>186</v>
      </c>
      <c r="E31" t="s">
        <v>10</v>
      </c>
      <c r="F31">
        <v>42</v>
      </c>
      <c r="G31" t="s">
        <v>73</v>
      </c>
      <c r="H31">
        <v>160601</v>
      </c>
      <c r="I31" t="b">
        <f t="shared" si="0"/>
        <v>0</v>
      </c>
      <c r="J31" t="str">
        <f t="shared" si="1"/>
        <v>No Bonus</v>
      </c>
      <c r="K31" t="str">
        <f t="shared" si="2"/>
        <v>Excluded</v>
      </c>
      <c r="L31" t="str">
        <f t="shared" si="3"/>
        <v>Included</v>
      </c>
    </row>
    <row r="32" spans="1:12" x14ac:dyDescent="0.3">
      <c r="A32" t="s">
        <v>12</v>
      </c>
      <c r="B32" t="s">
        <v>13</v>
      </c>
      <c r="C32" t="s">
        <v>9</v>
      </c>
      <c r="D32" t="s">
        <v>187</v>
      </c>
      <c r="E32" t="s">
        <v>26</v>
      </c>
      <c r="F32">
        <v>42</v>
      </c>
      <c r="G32" t="s">
        <v>74</v>
      </c>
      <c r="H32">
        <v>78880</v>
      </c>
      <c r="I32" t="b">
        <f t="shared" si="0"/>
        <v>0</v>
      </c>
      <c r="J32" t="str">
        <f t="shared" si="1"/>
        <v>No Bonus</v>
      </c>
      <c r="K32" t="str">
        <f t="shared" si="2"/>
        <v>Excluded</v>
      </c>
      <c r="L32" t="str">
        <f t="shared" si="3"/>
        <v>Excluded</v>
      </c>
    </row>
    <row r="33" spans="1:12" x14ac:dyDescent="0.3">
      <c r="A33" t="s">
        <v>75</v>
      </c>
      <c r="B33" t="s">
        <v>13</v>
      </c>
      <c r="C33" t="s">
        <v>33</v>
      </c>
      <c r="D33" t="s">
        <v>186</v>
      </c>
      <c r="E33" t="s">
        <v>26</v>
      </c>
      <c r="F33">
        <v>49</v>
      </c>
      <c r="G33" t="s">
        <v>76</v>
      </c>
      <c r="H33">
        <v>142102</v>
      </c>
      <c r="I33" t="b">
        <f t="shared" si="0"/>
        <v>0</v>
      </c>
      <c r="J33" t="str">
        <f t="shared" si="1"/>
        <v>No Bonus</v>
      </c>
      <c r="K33" t="str">
        <f t="shared" si="2"/>
        <v>Excluded</v>
      </c>
      <c r="L33" t="str">
        <f t="shared" si="3"/>
        <v>Included</v>
      </c>
    </row>
    <row r="34" spans="1:12" x14ac:dyDescent="0.3">
      <c r="A34" t="s">
        <v>77</v>
      </c>
      <c r="B34" t="s">
        <v>19</v>
      </c>
      <c r="C34" t="s">
        <v>9</v>
      </c>
      <c r="D34" t="s">
        <v>186</v>
      </c>
      <c r="E34" t="s">
        <v>26</v>
      </c>
      <c r="F34">
        <v>45</v>
      </c>
      <c r="G34" t="s">
        <v>78</v>
      </c>
      <c r="H34">
        <v>74687</v>
      </c>
      <c r="I34" t="b">
        <f t="shared" si="0"/>
        <v>0</v>
      </c>
      <c r="J34" t="str">
        <f t="shared" si="1"/>
        <v>No Bonus</v>
      </c>
      <c r="K34" t="str">
        <f t="shared" si="2"/>
        <v>Excluded</v>
      </c>
      <c r="L34" t="str">
        <f t="shared" si="3"/>
        <v>Included</v>
      </c>
    </row>
    <row r="35" spans="1:12" x14ac:dyDescent="0.3">
      <c r="A35" t="s">
        <v>79</v>
      </c>
      <c r="B35" t="s">
        <v>23</v>
      </c>
      <c r="C35" t="s">
        <v>14</v>
      </c>
      <c r="D35" t="s">
        <v>186</v>
      </c>
      <c r="E35" t="s">
        <v>10</v>
      </c>
      <c r="F35">
        <v>26</v>
      </c>
      <c r="G35" t="s">
        <v>80</v>
      </c>
      <c r="H35">
        <v>84131</v>
      </c>
      <c r="I35" t="b">
        <f t="shared" si="0"/>
        <v>0</v>
      </c>
      <c r="J35" t="str">
        <f t="shared" si="1"/>
        <v>No Bonus</v>
      </c>
      <c r="K35" t="str">
        <f t="shared" si="2"/>
        <v>Excluded</v>
      </c>
      <c r="L35" t="str">
        <f t="shared" si="3"/>
        <v>Included</v>
      </c>
    </row>
    <row r="36" spans="1:12" x14ac:dyDescent="0.3">
      <c r="A36" t="s">
        <v>81</v>
      </c>
      <c r="B36" t="s">
        <v>45</v>
      </c>
      <c r="C36" t="s">
        <v>9</v>
      </c>
      <c r="D36" t="s">
        <v>186</v>
      </c>
      <c r="E36" t="s">
        <v>10</v>
      </c>
      <c r="F36">
        <v>52</v>
      </c>
      <c r="G36" t="s">
        <v>82</v>
      </c>
      <c r="H36">
        <v>118973</v>
      </c>
      <c r="I36" t="b">
        <f t="shared" si="0"/>
        <v>1</v>
      </c>
      <c r="J36" t="str">
        <f t="shared" si="1"/>
        <v>Bonus</v>
      </c>
      <c r="K36" t="str">
        <f t="shared" si="2"/>
        <v>Excluded</v>
      </c>
      <c r="L36" t="str">
        <f t="shared" si="3"/>
        <v>Included</v>
      </c>
    </row>
    <row r="37" spans="1:12" x14ac:dyDescent="0.3">
      <c r="A37" t="s">
        <v>83</v>
      </c>
      <c r="B37" t="s">
        <v>36</v>
      </c>
      <c r="C37" t="s">
        <v>9</v>
      </c>
      <c r="D37" t="s">
        <v>186</v>
      </c>
      <c r="E37" t="s">
        <v>10</v>
      </c>
      <c r="F37">
        <v>55</v>
      </c>
      <c r="G37" t="s">
        <v>84</v>
      </c>
      <c r="H37">
        <v>136876</v>
      </c>
      <c r="I37" t="b">
        <f t="shared" si="0"/>
        <v>1</v>
      </c>
      <c r="J37" t="str">
        <f t="shared" si="1"/>
        <v>Bonus</v>
      </c>
      <c r="K37" t="str">
        <f t="shared" si="2"/>
        <v>Excluded</v>
      </c>
      <c r="L37" t="str">
        <f t="shared" si="3"/>
        <v>Included</v>
      </c>
    </row>
    <row r="38" spans="1:12" x14ac:dyDescent="0.3">
      <c r="A38" t="s">
        <v>85</v>
      </c>
      <c r="B38" t="s">
        <v>8</v>
      </c>
      <c r="C38" t="s">
        <v>14</v>
      </c>
      <c r="D38" t="s">
        <v>186</v>
      </c>
      <c r="E38" t="s">
        <v>10</v>
      </c>
      <c r="F38">
        <v>47</v>
      </c>
      <c r="G38" t="s">
        <v>86</v>
      </c>
      <c r="H38">
        <v>147830</v>
      </c>
      <c r="I38" t="b">
        <f t="shared" si="0"/>
        <v>0</v>
      </c>
      <c r="J38" t="str">
        <f t="shared" si="1"/>
        <v>No Bonus</v>
      </c>
      <c r="K38" t="str">
        <f t="shared" si="2"/>
        <v>Excluded</v>
      </c>
      <c r="L38" t="str">
        <f t="shared" si="3"/>
        <v>Included</v>
      </c>
    </row>
    <row r="39" spans="1:12" x14ac:dyDescent="0.3">
      <c r="A39" t="s">
        <v>87</v>
      </c>
      <c r="B39" t="s">
        <v>19</v>
      </c>
      <c r="C39" t="s">
        <v>20</v>
      </c>
      <c r="D39" t="s">
        <v>187</v>
      </c>
      <c r="E39" t="s">
        <v>10</v>
      </c>
      <c r="F39">
        <v>29</v>
      </c>
      <c r="G39" t="s">
        <v>88</v>
      </c>
      <c r="H39">
        <v>42909</v>
      </c>
      <c r="I39" t="b">
        <f t="shared" si="0"/>
        <v>0</v>
      </c>
      <c r="J39" t="str">
        <f t="shared" si="1"/>
        <v>No Bonus</v>
      </c>
      <c r="K39" t="str">
        <f t="shared" si="2"/>
        <v>Excluded</v>
      </c>
      <c r="L39" t="str">
        <f t="shared" si="3"/>
        <v>Included</v>
      </c>
    </row>
    <row r="40" spans="1:12" x14ac:dyDescent="0.3">
      <c r="A40" t="s">
        <v>89</v>
      </c>
      <c r="B40" t="s">
        <v>19</v>
      </c>
      <c r="C40" t="s">
        <v>20</v>
      </c>
      <c r="D40" t="s">
        <v>186</v>
      </c>
      <c r="E40" t="s">
        <v>10</v>
      </c>
      <c r="F40">
        <v>30</v>
      </c>
      <c r="G40" t="s">
        <v>90</v>
      </c>
      <c r="H40">
        <v>188534</v>
      </c>
      <c r="I40" t="b">
        <f t="shared" si="0"/>
        <v>0</v>
      </c>
      <c r="J40" t="str">
        <f t="shared" si="1"/>
        <v>No Bonus</v>
      </c>
      <c r="K40" t="str">
        <f t="shared" si="2"/>
        <v>Excluded</v>
      </c>
      <c r="L40" t="str">
        <f t="shared" si="3"/>
        <v>Included</v>
      </c>
    </row>
    <row r="41" spans="1:12" x14ac:dyDescent="0.3">
      <c r="A41" t="s">
        <v>83</v>
      </c>
      <c r="B41" t="s">
        <v>13</v>
      </c>
      <c r="C41" t="s">
        <v>9</v>
      </c>
      <c r="D41" t="s">
        <v>187</v>
      </c>
      <c r="E41" t="s">
        <v>10</v>
      </c>
      <c r="F41">
        <v>42</v>
      </c>
      <c r="G41" t="s">
        <v>91</v>
      </c>
      <c r="H41">
        <v>179088</v>
      </c>
      <c r="I41" t="b">
        <f t="shared" si="0"/>
        <v>0</v>
      </c>
      <c r="J41" t="str">
        <f t="shared" si="1"/>
        <v>No Bonus</v>
      </c>
      <c r="K41" t="str">
        <f t="shared" si="2"/>
        <v>Excluded</v>
      </c>
      <c r="L41" t="str">
        <f t="shared" si="3"/>
        <v>Included</v>
      </c>
    </row>
    <row r="42" spans="1:12" x14ac:dyDescent="0.3">
      <c r="A42" t="s">
        <v>32</v>
      </c>
      <c r="B42" t="s">
        <v>36</v>
      </c>
      <c r="C42" t="s">
        <v>20</v>
      </c>
      <c r="D42" t="s">
        <v>186</v>
      </c>
      <c r="E42" t="s">
        <v>26</v>
      </c>
      <c r="F42">
        <v>50</v>
      </c>
      <c r="G42" t="s">
        <v>92</v>
      </c>
      <c r="H42">
        <v>93670</v>
      </c>
      <c r="I42" t="b">
        <f t="shared" si="0"/>
        <v>0</v>
      </c>
      <c r="J42" t="str">
        <f t="shared" si="1"/>
        <v>Bonus</v>
      </c>
      <c r="K42" t="str">
        <f t="shared" si="2"/>
        <v>Excluded</v>
      </c>
      <c r="L42" t="str">
        <f t="shared" si="3"/>
        <v>Included</v>
      </c>
    </row>
    <row r="43" spans="1:12" x14ac:dyDescent="0.3">
      <c r="A43" t="s">
        <v>93</v>
      </c>
      <c r="B43" t="s">
        <v>13</v>
      </c>
      <c r="C43" t="s">
        <v>14</v>
      </c>
      <c r="D43" t="s">
        <v>187</v>
      </c>
      <c r="E43" t="s">
        <v>10</v>
      </c>
      <c r="F43">
        <v>50</v>
      </c>
      <c r="G43" t="s">
        <v>94</v>
      </c>
      <c r="H43">
        <v>88933</v>
      </c>
      <c r="I43" t="b">
        <f t="shared" si="0"/>
        <v>0</v>
      </c>
      <c r="J43" t="str">
        <f t="shared" si="1"/>
        <v>Bonus</v>
      </c>
      <c r="K43" t="str">
        <f t="shared" si="2"/>
        <v>Included</v>
      </c>
      <c r="L43" t="str">
        <f t="shared" si="3"/>
        <v>Included</v>
      </c>
    </row>
    <row r="44" spans="1:12" x14ac:dyDescent="0.3">
      <c r="A44" t="s">
        <v>95</v>
      </c>
      <c r="B44" t="s">
        <v>8</v>
      </c>
      <c r="C44" t="s">
        <v>49</v>
      </c>
      <c r="D44" t="s">
        <v>187</v>
      </c>
      <c r="E44" t="s">
        <v>26</v>
      </c>
      <c r="F44">
        <v>40</v>
      </c>
      <c r="G44" t="s">
        <v>96</v>
      </c>
      <c r="H44">
        <v>167950</v>
      </c>
      <c r="I44" t="b">
        <f t="shared" si="0"/>
        <v>0</v>
      </c>
      <c r="J44" t="str">
        <f t="shared" si="1"/>
        <v>No Bonus</v>
      </c>
      <c r="K44" t="str">
        <f t="shared" si="2"/>
        <v>Excluded</v>
      </c>
      <c r="L44" t="str">
        <f t="shared" si="3"/>
        <v>Excluded</v>
      </c>
    </row>
    <row r="45" spans="1:12" x14ac:dyDescent="0.3">
      <c r="A45" t="s">
        <v>22</v>
      </c>
      <c r="B45" t="s">
        <v>8</v>
      </c>
      <c r="C45" t="s">
        <v>14</v>
      </c>
      <c r="D45" t="s">
        <v>186</v>
      </c>
      <c r="E45" t="s">
        <v>10</v>
      </c>
      <c r="F45">
        <v>24</v>
      </c>
      <c r="G45" t="s">
        <v>97</v>
      </c>
      <c r="H45">
        <v>182165</v>
      </c>
      <c r="I45" t="b">
        <f t="shared" si="0"/>
        <v>0</v>
      </c>
      <c r="J45" t="str">
        <f t="shared" si="1"/>
        <v>No Bonus</v>
      </c>
      <c r="K45" t="str">
        <f t="shared" si="2"/>
        <v>Excluded</v>
      </c>
      <c r="L45" t="str">
        <f t="shared" si="3"/>
        <v>Included</v>
      </c>
    </row>
    <row r="46" spans="1:12" x14ac:dyDescent="0.3">
      <c r="A46" t="s">
        <v>93</v>
      </c>
      <c r="B46" t="s">
        <v>23</v>
      </c>
      <c r="C46" t="s">
        <v>20</v>
      </c>
      <c r="D46" t="s">
        <v>186</v>
      </c>
      <c r="E46" t="s">
        <v>10</v>
      </c>
      <c r="F46">
        <v>33</v>
      </c>
      <c r="G46" t="s">
        <v>98</v>
      </c>
      <c r="H46">
        <v>67184</v>
      </c>
      <c r="I46" t="b">
        <f t="shared" si="0"/>
        <v>0</v>
      </c>
      <c r="J46" t="str">
        <f t="shared" si="1"/>
        <v>No Bonus</v>
      </c>
      <c r="K46" t="str">
        <f t="shared" si="2"/>
        <v>Excluded</v>
      </c>
      <c r="L46" t="str">
        <f t="shared" si="3"/>
        <v>Included</v>
      </c>
    </row>
    <row r="47" spans="1:12" x14ac:dyDescent="0.3">
      <c r="A47" t="s">
        <v>99</v>
      </c>
      <c r="B47" t="s">
        <v>23</v>
      </c>
      <c r="C47" t="s">
        <v>14</v>
      </c>
      <c r="D47" t="s">
        <v>186</v>
      </c>
      <c r="E47" t="s">
        <v>10</v>
      </c>
      <c r="F47">
        <v>22</v>
      </c>
      <c r="G47" t="s">
        <v>100</v>
      </c>
      <c r="H47">
        <v>144601</v>
      </c>
      <c r="I47" t="b">
        <f t="shared" si="0"/>
        <v>0</v>
      </c>
      <c r="J47" t="str">
        <f t="shared" si="1"/>
        <v>No Bonus</v>
      </c>
      <c r="K47" t="str">
        <f t="shared" si="2"/>
        <v>Excluded</v>
      </c>
      <c r="L47" t="str">
        <f t="shared" si="3"/>
        <v>Included</v>
      </c>
    </row>
    <row r="48" spans="1:12" x14ac:dyDescent="0.3">
      <c r="A48" t="s">
        <v>101</v>
      </c>
      <c r="B48" t="s">
        <v>23</v>
      </c>
      <c r="C48" t="s">
        <v>20</v>
      </c>
      <c r="D48" t="s">
        <v>187</v>
      </c>
      <c r="E48" t="s">
        <v>26</v>
      </c>
      <c r="F48">
        <v>33</v>
      </c>
      <c r="G48" t="s">
        <v>102</v>
      </c>
      <c r="H48">
        <v>100893</v>
      </c>
      <c r="I48" t="b">
        <f t="shared" si="0"/>
        <v>0</v>
      </c>
      <c r="J48" t="str">
        <f t="shared" si="1"/>
        <v>No Bonus</v>
      </c>
      <c r="K48" t="str">
        <f t="shared" si="2"/>
        <v>Excluded</v>
      </c>
      <c r="L48" t="str">
        <f t="shared" si="3"/>
        <v>Excluded</v>
      </c>
    </row>
    <row r="49" spans="1:12" x14ac:dyDescent="0.3">
      <c r="A49" t="s">
        <v>103</v>
      </c>
      <c r="B49" t="s">
        <v>13</v>
      </c>
      <c r="C49" t="s">
        <v>33</v>
      </c>
      <c r="D49" t="s">
        <v>187</v>
      </c>
      <c r="E49" t="s">
        <v>26</v>
      </c>
      <c r="F49">
        <v>43</v>
      </c>
      <c r="G49" t="s">
        <v>104</v>
      </c>
      <c r="H49">
        <v>156025</v>
      </c>
      <c r="I49" t="b">
        <f t="shared" si="0"/>
        <v>0</v>
      </c>
      <c r="J49" t="str">
        <f t="shared" si="1"/>
        <v>No Bonus</v>
      </c>
      <c r="K49" t="str">
        <f t="shared" si="2"/>
        <v>Excluded</v>
      </c>
      <c r="L49" t="str">
        <f t="shared" si="3"/>
        <v>Excluded</v>
      </c>
    </row>
    <row r="50" spans="1:12" x14ac:dyDescent="0.3">
      <c r="A50" t="s">
        <v>105</v>
      </c>
      <c r="B50" t="s">
        <v>45</v>
      </c>
      <c r="C50" t="s">
        <v>33</v>
      </c>
      <c r="D50" t="s">
        <v>186</v>
      </c>
      <c r="E50" t="s">
        <v>10</v>
      </c>
      <c r="F50">
        <v>42</v>
      </c>
      <c r="G50" t="s">
        <v>106</v>
      </c>
      <c r="H50">
        <v>171531</v>
      </c>
      <c r="I50" t="b">
        <f t="shared" si="0"/>
        <v>0</v>
      </c>
      <c r="J50" t="str">
        <f t="shared" si="1"/>
        <v>No Bonus</v>
      </c>
      <c r="K50" t="str">
        <f t="shared" si="2"/>
        <v>Excluded</v>
      </c>
      <c r="L50" t="str">
        <f t="shared" si="3"/>
        <v>Included</v>
      </c>
    </row>
    <row r="51" spans="1:12" x14ac:dyDescent="0.3">
      <c r="A51" t="s">
        <v>107</v>
      </c>
      <c r="B51" t="s">
        <v>19</v>
      </c>
      <c r="C51" t="s">
        <v>9</v>
      </c>
      <c r="D51" t="s">
        <v>187</v>
      </c>
      <c r="E51" t="s">
        <v>26</v>
      </c>
      <c r="F51">
        <v>52</v>
      </c>
      <c r="G51" t="s">
        <v>108</v>
      </c>
      <c r="H51">
        <v>151624</v>
      </c>
      <c r="I51" t="b">
        <f t="shared" si="0"/>
        <v>1</v>
      </c>
      <c r="J51" t="str">
        <f t="shared" si="1"/>
        <v>Bonus</v>
      </c>
      <c r="K51" t="str">
        <f t="shared" si="2"/>
        <v>Excluded</v>
      </c>
      <c r="L51" t="str">
        <f t="shared" si="3"/>
        <v>Excluded</v>
      </c>
    </row>
    <row r="52" spans="1:12" x14ac:dyDescent="0.3">
      <c r="A52" t="s">
        <v>109</v>
      </c>
      <c r="B52" t="s">
        <v>45</v>
      </c>
      <c r="C52" t="s">
        <v>20</v>
      </c>
      <c r="D52" t="s">
        <v>187</v>
      </c>
      <c r="E52" t="s">
        <v>10</v>
      </c>
      <c r="F52">
        <v>25</v>
      </c>
      <c r="G52" t="s">
        <v>110</v>
      </c>
      <c r="H52">
        <v>49268</v>
      </c>
      <c r="I52" t="b">
        <f t="shared" si="0"/>
        <v>0</v>
      </c>
      <c r="J52" t="str">
        <f t="shared" si="1"/>
        <v>No Bonus</v>
      </c>
      <c r="K52" t="str">
        <f t="shared" si="2"/>
        <v>Excluded</v>
      </c>
      <c r="L52" t="str">
        <f t="shared" si="3"/>
        <v>Included</v>
      </c>
    </row>
    <row r="53" spans="1:12" x14ac:dyDescent="0.3">
      <c r="A53" t="s">
        <v>77</v>
      </c>
      <c r="B53" t="s">
        <v>8</v>
      </c>
      <c r="C53" t="s">
        <v>33</v>
      </c>
      <c r="D53" t="s">
        <v>187</v>
      </c>
      <c r="E53" t="s">
        <v>26</v>
      </c>
      <c r="F53">
        <v>44</v>
      </c>
      <c r="G53" t="s">
        <v>111</v>
      </c>
      <c r="H53">
        <v>86376</v>
      </c>
      <c r="I53" t="b">
        <f t="shared" si="0"/>
        <v>0</v>
      </c>
      <c r="J53" t="str">
        <f t="shared" si="1"/>
        <v>No Bonus</v>
      </c>
      <c r="K53" t="str">
        <f t="shared" si="2"/>
        <v>Excluded</v>
      </c>
      <c r="L53" t="str">
        <f t="shared" si="3"/>
        <v>Excluded</v>
      </c>
    </row>
    <row r="54" spans="1:12" x14ac:dyDescent="0.3">
      <c r="A54" t="s">
        <v>66</v>
      </c>
      <c r="B54" t="s">
        <v>45</v>
      </c>
      <c r="C54" t="s">
        <v>20</v>
      </c>
      <c r="D54" t="s">
        <v>187</v>
      </c>
      <c r="E54" t="s">
        <v>10</v>
      </c>
      <c r="F54">
        <v>37</v>
      </c>
      <c r="G54" t="s">
        <v>112</v>
      </c>
      <c r="H54">
        <v>165908</v>
      </c>
      <c r="I54" t="b">
        <f t="shared" si="0"/>
        <v>0</v>
      </c>
      <c r="J54" t="str">
        <f t="shared" si="1"/>
        <v>No Bonus</v>
      </c>
      <c r="K54" t="str">
        <f t="shared" si="2"/>
        <v>Excluded</v>
      </c>
      <c r="L54" t="str">
        <f t="shared" si="3"/>
        <v>Included</v>
      </c>
    </row>
    <row r="55" spans="1:12" x14ac:dyDescent="0.3">
      <c r="A55" t="s">
        <v>113</v>
      </c>
      <c r="B55" t="s">
        <v>13</v>
      </c>
      <c r="C55" t="s">
        <v>49</v>
      </c>
      <c r="D55" t="s">
        <v>187</v>
      </c>
      <c r="E55" t="s">
        <v>10</v>
      </c>
      <c r="F55">
        <v>46</v>
      </c>
      <c r="G55" t="s">
        <v>114</v>
      </c>
      <c r="H55">
        <v>65277</v>
      </c>
      <c r="I55" t="b">
        <f t="shared" si="0"/>
        <v>0</v>
      </c>
      <c r="J55" t="str">
        <f t="shared" si="1"/>
        <v>No Bonus</v>
      </c>
      <c r="K55" t="str">
        <f t="shared" si="2"/>
        <v>Excluded</v>
      </c>
      <c r="L55" t="str">
        <f t="shared" si="3"/>
        <v>Included</v>
      </c>
    </row>
    <row r="56" spans="1:12" x14ac:dyDescent="0.3">
      <c r="A56" t="s">
        <v>38</v>
      </c>
      <c r="B56" t="s">
        <v>8</v>
      </c>
      <c r="C56" t="s">
        <v>9</v>
      </c>
      <c r="D56" t="s">
        <v>186</v>
      </c>
      <c r="E56" t="s">
        <v>26</v>
      </c>
      <c r="F56">
        <v>49</v>
      </c>
      <c r="G56" t="s">
        <v>115</v>
      </c>
      <c r="H56">
        <v>152100</v>
      </c>
      <c r="I56" t="b">
        <f t="shared" si="0"/>
        <v>0</v>
      </c>
      <c r="J56" t="str">
        <f t="shared" si="1"/>
        <v>No Bonus</v>
      </c>
      <c r="K56" t="str">
        <f t="shared" si="2"/>
        <v>Excluded</v>
      </c>
      <c r="L56" t="str">
        <f t="shared" si="3"/>
        <v>Included</v>
      </c>
    </row>
    <row r="57" spans="1:12" x14ac:dyDescent="0.3">
      <c r="A57" t="s">
        <v>69</v>
      </c>
      <c r="B57" t="s">
        <v>45</v>
      </c>
      <c r="C57" t="s">
        <v>14</v>
      </c>
      <c r="D57" t="s">
        <v>186</v>
      </c>
      <c r="E57" t="s">
        <v>10</v>
      </c>
      <c r="F57">
        <v>28</v>
      </c>
      <c r="G57" t="s">
        <v>116</v>
      </c>
      <c r="H57">
        <v>112382</v>
      </c>
      <c r="I57" t="b">
        <f t="shared" si="0"/>
        <v>0</v>
      </c>
      <c r="J57" t="str">
        <f t="shared" si="1"/>
        <v>No Bonus</v>
      </c>
      <c r="K57" t="str">
        <f t="shared" si="2"/>
        <v>Excluded</v>
      </c>
      <c r="L57" t="str">
        <f t="shared" si="3"/>
        <v>Included</v>
      </c>
    </row>
    <row r="58" spans="1:12" x14ac:dyDescent="0.3">
      <c r="A58" t="s">
        <v>75</v>
      </c>
      <c r="B58" t="s">
        <v>23</v>
      </c>
      <c r="C58" t="s">
        <v>9</v>
      </c>
      <c r="D58" t="s">
        <v>186</v>
      </c>
      <c r="E58" t="s">
        <v>10</v>
      </c>
      <c r="F58">
        <v>32</v>
      </c>
      <c r="G58" t="s">
        <v>117</v>
      </c>
      <c r="H58">
        <v>138120</v>
      </c>
      <c r="I58" t="b">
        <f t="shared" si="0"/>
        <v>0</v>
      </c>
      <c r="J58" t="str">
        <f t="shared" si="1"/>
        <v>No Bonus</v>
      </c>
      <c r="K58" t="str">
        <f t="shared" si="2"/>
        <v>Excluded</v>
      </c>
      <c r="L58" t="str">
        <f t="shared" si="3"/>
        <v>Included</v>
      </c>
    </row>
    <row r="59" spans="1:12" x14ac:dyDescent="0.3">
      <c r="A59" t="s">
        <v>118</v>
      </c>
      <c r="B59" t="s">
        <v>45</v>
      </c>
      <c r="C59" t="s">
        <v>33</v>
      </c>
      <c r="D59" t="s">
        <v>186</v>
      </c>
      <c r="E59" t="s">
        <v>26</v>
      </c>
      <c r="F59">
        <v>29</v>
      </c>
      <c r="G59" t="s">
        <v>119</v>
      </c>
      <c r="H59">
        <v>58707</v>
      </c>
      <c r="I59" t="b">
        <f t="shared" si="0"/>
        <v>0</v>
      </c>
      <c r="J59" t="str">
        <f t="shared" si="1"/>
        <v>No Bonus</v>
      </c>
      <c r="K59" t="str">
        <f t="shared" si="2"/>
        <v>Excluded</v>
      </c>
      <c r="L59" t="str">
        <f t="shared" si="3"/>
        <v>Included</v>
      </c>
    </row>
    <row r="60" spans="1:12" x14ac:dyDescent="0.3">
      <c r="A60" t="s">
        <v>120</v>
      </c>
      <c r="B60" t="s">
        <v>8</v>
      </c>
      <c r="C60" t="s">
        <v>33</v>
      </c>
      <c r="D60" t="s">
        <v>186</v>
      </c>
      <c r="E60" t="s">
        <v>10</v>
      </c>
      <c r="F60">
        <v>40</v>
      </c>
      <c r="G60" t="s">
        <v>121</v>
      </c>
      <c r="H60">
        <v>63983</v>
      </c>
      <c r="I60" t="b">
        <f t="shared" si="0"/>
        <v>0</v>
      </c>
      <c r="J60" t="str">
        <f t="shared" si="1"/>
        <v>No Bonus</v>
      </c>
      <c r="K60" t="str">
        <f t="shared" si="2"/>
        <v>Excluded</v>
      </c>
      <c r="L60" t="str">
        <f t="shared" si="3"/>
        <v>Included</v>
      </c>
    </row>
    <row r="61" spans="1:12" x14ac:dyDescent="0.3">
      <c r="A61" t="s">
        <v>122</v>
      </c>
      <c r="B61" t="s">
        <v>13</v>
      </c>
      <c r="C61" t="s">
        <v>49</v>
      </c>
      <c r="D61" t="s">
        <v>186</v>
      </c>
      <c r="E61" t="s">
        <v>26</v>
      </c>
      <c r="F61">
        <v>45</v>
      </c>
      <c r="G61" t="s">
        <v>123</v>
      </c>
      <c r="H61">
        <v>51810</v>
      </c>
      <c r="I61" t="b">
        <f t="shared" si="0"/>
        <v>0</v>
      </c>
      <c r="J61" t="str">
        <f t="shared" si="1"/>
        <v>No Bonus</v>
      </c>
      <c r="K61" t="str">
        <f t="shared" si="2"/>
        <v>Excluded</v>
      </c>
      <c r="L61" t="str">
        <f t="shared" si="3"/>
        <v>Included</v>
      </c>
    </row>
    <row r="62" spans="1:12" x14ac:dyDescent="0.3">
      <c r="A62" t="s">
        <v>118</v>
      </c>
      <c r="B62" t="s">
        <v>13</v>
      </c>
      <c r="C62" t="s">
        <v>33</v>
      </c>
      <c r="D62" t="s">
        <v>186</v>
      </c>
      <c r="E62" t="s">
        <v>10</v>
      </c>
      <c r="F62">
        <v>24</v>
      </c>
      <c r="G62" t="s">
        <v>124</v>
      </c>
      <c r="H62">
        <v>86459</v>
      </c>
      <c r="I62" t="b">
        <f t="shared" si="0"/>
        <v>0</v>
      </c>
      <c r="J62" t="str">
        <f t="shared" si="1"/>
        <v>No Bonus</v>
      </c>
      <c r="K62" t="str">
        <f t="shared" si="2"/>
        <v>Excluded</v>
      </c>
      <c r="L62" t="str">
        <f t="shared" si="3"/>
        <v>Included</v>
      </c>
    </row>
    <row r="63" spans="1:12" x14ac:dyDescent="0.3">
      <c r="A63" t="s">
        <v>99</v>
      </c>
      <c r="B63" t="s">
        <v>23</v>
      </c>
      <c r="C63" t="s">
        <v>49</v>
      </c>
      <c r="D63" t="s">
        <v>187</v>
      </c>
      <c r="E63" t="s">
        <v>26</v>
      </c>
      <c r="F63">
        <v>53</v>
      </c>
      <c r="G63" t="s">
        <v>125</v>
      </c>
      <c r="H63">
        <v>199213</v>
      </c>
      <c r="I63" t="b">
        <f t="shared" si="0"/>
        <v>1</v>
      </c>
      <c r="J63" t="str">
        <f t="shared" si="1"/>
        <v>Bonus</v>
      </c>
      <c r="K63" t="str">
        <f t="shared" si="2"/>
        <v>Excluded</v>
      </c>
      <c r="L63" t="str">
        <f t="shared" si="3"/>
        <v>Excluded</v>
      </c>
    </row>
    <row r="64" spans="1:12" x14ac:dyDescent="0.3">
      <c r="A64" t="s">
        <v>126</v>
      </c>
      <c r="B64" t="s">
        <v>8</v>
      </c>
      <c r="C64" t="s">
        <v>9</v>
      </c>
      <c r="D64" t="s">
        <v>187</v>
      </c>
      <c r="E64" t="s">
        <v>10</v>
      </c>
      <c r="F64">
        <v>30</v>
      </c>
      <c r="G64" t="s">
        <v>127</v>
      </c>
      <c r="H64">
        <v>142036</v>
      </c>
      <c r="I64" t="b">
        <f t="shared" si="0"/>
        <v>0</v>
      </c>
      <c r="J64" t="str">
        <f t="shared" si="1"/>
        <v>No Bonus</v>
      </c>
      <c r="K64" t="str">
        <f t="shared" si="2"/>
        <v>Excluded</v>
      </c>
      <c r="L64" t="str">
        <f t="shared" si="3"/>
        <v>Included</v>
      </c>
    </row>
    <row r="65" spans="1:12" x14ac:dyDescent="0.3">
      <c r="A65" t="s">
        <v>128</v>
      </c>
      <c r="B65" t="s">
        <v>36</v>
      </c>
      <c r="C65" t="s">
        <v>9</v>
      </c>
      <c r="D65" t="s">
        <v>186</v>
      </c>
      <c r="E65" t="s">
        <v>10</v>
      </c>
      <c r="F65">
        <v>46</v>
      </c>
      <c r="G65" t="s">
        <v>129</v>
      </c>
      <c r="H65">
        <v>58618</v>
      </c>
      <c r="I65" t="b">
        <f t="shared" si="0"/>
        <v>0</v>
      </c>
      <c r="J65" t="str">
        <f t="shared" si="1"/>
        <v>No Bonus</v>
      </c>
      <c r="K65" t="str">
        <f t="shared" si="2"/>
        <v>Excluded</v>
      </c>
      <c r="L65" t="str">
        <f t="shared" si="3"/>
        <v>Included</v>
      </c>
    </row>
    <row r="66" spans="1:12" x14ac:dyDescent="0.3">
      <c r="A66" t="s">
        <v>130</v>
      </c>
      <c r="B66" t="s">
        <v>8</v>
      </c>
      <c r="C66" t="s">
        <v>33</v>
      </c>
      <c r="D66" t="s">
        <v>187</v>
      </c>
      <c r="E66" t="s">
        <v>26</v>
      </c>
      <c r="F66">
        <v>22</v>
      </c>
      <c r="G66" t="s">
        <v>131</v>
      </c>
      <c r="H66">
        <v>174768</v>
      </c>
      <c r="I66" t="b">
        <f t="shared" si="0"/>
        <v>0</v>
      </c>
      <c r="J66" t="str">
        <f t="shared" si="1"/>
        <v>No Bonus</v>
      </c>
      <c r="K66" t="str">
        <f t="shared" si="2"/>
        <v>Excluded</v>
      </c>
      <c r="L66" t="str">
        <f t="shared" si="3"/>
        <v>Excluded</v>
      </c>
    </row>
    <row r="67" spans="1:12" x14ac:dyDescent="0.3">
      <c r="A67" t="s">
        <v>132</v>
      </c>
      <c r="B67" t="s">
        <v>45</v>
      </c>
      <c r="C67" t="s">
        <v>14</v>
      </c>
      <c r="D67" t="s">
        <v>187</v>
      </c>
      <c r="E67" t="s">
        <v>26</v>
      </c>
      <c r="F67">
        <v>38</v>
      </c>
      <c r="G67" t="s">
        <v>133</v>
      </c>
      <c r="H67">
        <v>99742</v>
      </c>
      <c r="I67" t="b">
        <f t="shared" ref="I67:I101" si="4">F67&gt;50</f>
        <v>0</v>
      </c>
      <c r="J67" t="str">
        <f t="shared" ref="J67:J101" si="5">IF(F67&gt;=50,"Bonus","No Bonus")</f>
        <v>No Bonus</v>
      </c>
      <c r="K67" t="str">
        <f t="shared" ref="K67:K101" si="6">IF(AND(C67="IT",D67="United States"),"Included","Excluded")</f>
        <v>Included</v>
      </c>
      <c r="L67" t="str">
        <f t="shared" ref="L67:L101" si="7">IF(OR(E67="Female",D67="China"),"Included","Excluded")</f>
        <v>Excluded</v>
      </c>
    </row>
    <row r="68" spans="1:12" x14ac:dyDescent="0.3">
      <c r="A68" t="s">
        <v>118</v>
      </c>
      <c r="B68" t="s">
        <v>36</v>
      </c>
      <c r="C68" t="s">
        <v>9</v>
      </c>
      <c r="D68" t="s">
        <v>187</v>
      </c>
      <c r="E68" t="s">
        <v>26</v>
      </c>
      <c r="F68">
        <v>42</v>
      </c>
      <c r="G68" t="s">
        <v>134</v>
      </c>
      <c r="H68">
        <v>103362</v>
      </c>
      <c r="I68" t="b">
        <f t="shared" si="4"/>
        <v>0</v>
      </c>
      <c r="J68" t="str">
        <f t="shared" si="5"/>
        <v>No Bonus</v>
      </c>
      <c r="K68" t="str">
        <f t="shared" si="6"/>
        <v>Excluded</v>
      </c>
      <c r="L68" t="str">
        <f t="shared" si="7"/>
        <v>Excluded</v>
      </c>
    </row>
    <row r="69" spans="1:12" x14ac:dyDescent="0.3">
      <c r="A69" t="s">
        <v>132</v>
      </c>
      <c r="B69" t="s">
        <v>19</v>
      </c>
      <c r="C69" t="s">
        <v>49</v>
      </c>
      <c r="D69" t="s">
        <v>187</v>
      </c>
      <c r="E69" t="s">
        <v>26</v>
      </c>
      <c r="F69">
        <v>25</v>
      </c>
      <c r="G69" t="s">
        <v>135</v>
      </c>
      <c r="H69">
        <v>174607</v>
      </c>
      <c r="I69" t="b">
        <f t="shared" si="4"/>
        <v>0</v>
      </c>
      <c r="J69" t="str">
        <f t="shared" si="5"/>
        <v>No Bonus</v>
      </c>
      <c r="K69" t="str">
        <f t="shared" si="6"/>
        <v>Excluded</v>
      </c>
      <c r="L69" t="str">
        <f t="shared" si="7"/>
        <v>Excluded</v>
      </c>
    </row>
    <row r="70" spans="1:12" x14ac:dyDescent="0.3">
      <c r="A70" t="s">
        <v>136</v>
      </c>
      <c r="B70" t="s">
        <v>19</v>
      </c>
      <c r="C70" t="s">
        <v>14</v>
      </c>
      <c r="D70" t="s">
        <v>186</v>
      </c>
      <c r="E70" t="s">
        <v>10</v>
      </c>
      <c r="F70">
        <v>27</v>
      </c>
      <c r="G70" t="s">
        <v>137</v>
      </c>
      <c r="H70">
        <v>81558</v>
      </c>
      <c r="I70" t="b">
        <f t="shared" si="4"/>
        <v>0</v>
      </c>
      <c r="J70" t="str">
        <f t="shared" si="5"/>
        <v>No Bonus</v>
      </c>
      <c r="K70" t="str">
        <f t="shared" si="6"/>
        <v>Excluded</v>
      </c>
      <c r="L70" t="str">
        <f t="shared" si="7"/>
        <v>Included</v>
      </c>
    </row>
    <row r="71" spans="1:12" x14ac:dyDescent="0.3">
      <c r="A71" t="s">
        <v>28</v>
      </c>
      <c r="B71" t="s">
        <v>45</v>
      </c>
      <c r="C71" t="s">
        <v>33</v>
      </c>
      <c r="D71" t="s">
        <v>186</v>
      </c>
      <c r="E71" t="s">
        <v>26</v>
      </c>
      <c r="F71">
        <v>27</v>
      </c>
      <c r="G71" t="s">
        <v>138</v>
      </c>
      <c r="H71">
        <v>161167</v>
      </c>
      <c r="I71" t="b">
        <f t="shared" si="4"/>
        <v>0</v>
      </c>
      <c r="J71" t="str">
        <f t="shared" si="5"/>
        <v>No Bonus</v>
      </c>
      <c r="K71" t="str">
        <f t="shared" si="6"/>
        <v>Excluded</v>
      </c>
      <c r="L71" t="str">
        <f t="shared" si="7"/>
        <v>Included</v>
      </c>
    </row>
    <row r="72" spans="1:12" x14ac:dyDescent="0.3">
      <c r="A72" t="s">
        <v>139</v>
      </c>
      <c r="B72" t="s">
        <v>19</v>
      </c>
      <c r="C72" t="s">
        <v>14</v>
      </c>
      <c r="D72" t="s">
        <v>187</v>
      </c>
      <c r="E72" t="s">
        <v>26</v>
      </c>
      <c r="F72">
        <v>22</v>
      </c>
      <c r="G72" t="s">
        <v>140</v>
      </c>
      <c r="H72">
        <v>83393</v>
      </c>
      <c r="I72" t="b">
        <f t="shared" si="4"/>
        <v>0</v>
      </c>
      <c r="J72" t="str">
        <f t="shared" si="5"/>
        <v>No Bonus</v>
      </c>
      <c r="K72" t="str">
        <f t="shared" si="6"/>
        <v>Included</v>
      </c>
      <c r="L72" t="str">
        <f t="shared" si="7"/>
        <v>Excluded</v>
      </c>
    </row>
    <row r="73" spans="1:12" x14ac:dyDescent="0.3">
      <c r="A73" t="s">
        <v>35</v>
      </c>
      <c r="B73" t="s">
        <v>36</v>
      </c>
      <c r="C73" t="s">
        <v>33</v>
      </c>
      <c r="D73" t="s">
        <v>187</v>
      </c>
      <c r="E73" t="s">
        <v>10</v>
      </c>
      <c r="F73">
        <v>28</v>
      </c>
      <c r="G73" t="s">
        <v>141</v>
      </c>
      <c r="H73">
        <v>52489</v>
      </c>
      <c r="I73" t="b">
        <f t="shared" si="4"/>
        <v>0</v>
      </c>
      <c r="J73" t="str">
        <f t="shared" si="5"/>
        <v>No Bonus</v>
      </c>
      <c r="K73" t="str">
        <f t="shared" si="6"/>
        <v>Excluded</v>
      </c>
      <c r="L73" t="str">
        <f t="shared" si="7"/>
        <v>Included</v>
      </c>
    </row>
    <row r="74" spans="1:12" x14ac:dyDescent="0.3">
      <c r="A74" t="s">
        <v>142</v>
      </c>
      <c r="B74" t="s">
        <v>23</v>
      </c>
      <c r="C74" t="s">
        <v>9</v>
      </c>
      <c r="D74" t="s">
        <v>186</v>
      </c>
      <c r="E74" t="s">
        <v>26</v>
      </c>
      <c r="F74">
        <v>47</v>
      </c>
      <c r="G74" t="s">
        <v>143</v>
      </c>
      <c r="H74">
        <v>137191</v>
      </c>
      <c r="I74" t="b">
        <f t="shared" si="4"/>
        <v>0</v>
      </c>
      <c r="J74" t="str">
        <f t="shared" si="5"/>
        <v>No Bonus</v>
      </c>
      <c r="K74" t="str">
        <f t="shared" si="6"/>
        <v>Excluded</v>
      </c>
      <c r="L74" t="str">
        <f t="shared" si="7"/>
        <v>Included</v>
      </c>
    </row>
    <row r="75" spans="1:12" x14ac:dyDescent="0.3">
      <c r="A75" t="s">
        <v>144</v>
      </c>
      <c r="B75" t="s">
        <v>36</v>
      </c>
      <c r="C75" t="s">
        <v>33</v>
      </c>
      <c r="D75" t="s">
        <v>187</v>
      </c>
      <c r="E75" t="s">
        <v>10</v>
      </c>
      <c r="F75">
        <v>40</v>
      </c>
      <c r="G75" t="s">
        <v>145</v>
      </c>
      <c r="H75">
        <v>166832</v>
      </c>
      <c r="I75" t="b">
        <f t="shared" si="4"/>
        <v>0</v>
      </c>
      <c r="J75" t="str">
        <f t="shared" si="5"/>
        <v>No Bonus</v>
      </c>
      <c r="K75" t="str">
        <f t="shared" si="6"/>
        <v>Excluded</v>
      </c>
      <c r="L75" t="str">
        <f t="shared" si="7"/>
        <v>Included</v>
      </c>
    </row>
    <row r="76" spans="1:12" x14ac:dyDescent="0.3">
      <c r="A76" t="s">
        <v>146</v>
      </c>
      <c r="B76" t="s">
        <v>13</v>
      </c>
      <c r="C76" t="s">
        <v>9</v>
      </c>
      <c r="D76" t="s">
        <v>186</v>
      </c>
      <c r="E76" t="s">
        <v>26</v>
      </c>
      <c r="F76">
        <v>48</v>
      </c>
      <c r="G76" t="s">
        <v>147</v>
      </c>
      <c r="H76">
        <v>137049</v>
      </c>
      <c r="I76" t="b">
        <f t="shared" si="4"/>
        <v>0</v>
      </c>
      <c r="J76" t="str">
        <f t="shared" si="5"/>
        <v>No Bonus</v>
      </c>
      <c r="K76" t="str">
        <f t="shared" si="6"/>
        <v>Excluded</v>
      </c>
      <c r="L76" t="str">
        <f t="shared" si="7"/>
        <v>Included</v>
      </c>
    </row>
    <row r="77" spans="1:12" x14ac:dyDescent="0.3">
      <c r="A77" t="s">
        <v>69</v>
      </c>
      <c r="B77" t="s">
        <v>8</v>
      </c>
      <c r="C77" t="s">
        <v>33</v>
      </c>
      <c r="D77" t="s">
        <v>187</v>
      </c>
      <c r="E77" t="s">
        <v>26</v>
      </c>
      <c r="F77">
        <v>31</v>
      </c>
      <c r="G77" t="s">
        <v>148</v>
      </c>
      <c r="H77">
        <v>191791</v>
      </c>
      <c r="I77" t="b">
        <f t="shared" si="4"/>
        <v>0</v>
      </c>
      <c r="J77" t="str">
        <f t="shared" si="5"/>
        <v>No Bonus</v>
      </c>
      <c r="K77" t="str">
        <f t="shared" si="6"/>
        <v>Excluded</v>
      </c>
      <c r="L77" t="str">
        <f t="shared" si="7"/>
        <v>Excluded</v>
      </c>
    </row>
    <row r="78" spans="1:12" x14ac:dyDescent="0.3">
      <c r="A78" t="s">
        <v>149</v>
      </c>
      <c r="B78" t="s">
        <v>13</v>
      </c>
      <c r="C78" t="s">
        <v>33</v>
      </c>
      <c r="D78" t="s">
        <v>187</v>
      </c>
      <c r="E78" t="s">
        <v>26</v>
      </c>
      <c r="F78">
        <v>50</v>
      </c>
      <c r="G78" t="s">
        <v>150</v>
      </c>
      <c r="H78">
        <v>65991</v>
      </c>
      <c r="I78" t="b">
        <f t="shared" si="4"/>
        <v>0</v>
      </c>
      <c r="J78" t="str">
        <f t="shared" si="5"/>
        <v>Bonus</v>
      </c>
      <c r="K78" t="str">
        <f t="shared" si="6"/>
        <v>Excluded</v>
      </c>
      <c r="L78" t="str">
        <f t="shared" si="7"/>
        <v>Excluded</v>
      </c>
    </row>
    <row r="79" spans="1:12" x14ac:dyDescent="0.3">
      <c r="A79" t="s">
        <v>85</v>
      </c>
      <c r="B79" t="s">
        <v>19</v>
      </c>
      <c r="C79" t="s">
        <v>49</v>
      </c>
      <c r="D79" t="s">
        <v>187</v>
      </c>
      <c r="E79" t="s">
        <v>26</v>
      </c>
      <c r="F79">
        <v>27</v>
      </c>
      <c r="G79" t="s">
        <v>151</v>
      </c>
      <c r="H79">
        <v>176807</v>
      </c>
      <c r="I79" t="b">
        <f t="shared" si="4"/>
        <v>0</v>
      </c>
      <c r="J79" t="str">
        <f t="shared" si="5"/>
        <v>No Bonus</v>
      </c>
      <c r="K79" t="str">
        <f t="shared" si="6"/>
        <v>Excluded</v>
      </c>
      <c r="L79" t="str">
        <f t="shared" si="7"/>
        <v>Excluded</v>
      </c>
    </row>
    <row r="80" spans="1:12" x14ac:dyDescent="0.3">
      <c r="A80" t="s">
        <v>38</v>
      </c>
      <c r="B80" t="s">
        <v>8</v>
      </c>
      <c r="C80" t="s">
        <v>49</v>
      </c>
      <c r="D80" t="s">
        <v>186</v>
      </c>
      <c r="E80" t="s">
        <v>26</v>
      </c>
      <c r="F80">
        <v>28</v>
      </c>
      <c r="G80" t="s">
        <v>152</v>
      </c>
      <c r="H80">
        <v>85211</v>
      </c>
      <c r="I80" t="b">
        <f t="shared" si="4"/>
        <v>0</v>
      </c>
      <c r="J80" t="str">
        <f t="shared" si="5"/>
        <v>No Bonus</v>
      </c>
      <c r="K80" t="str">
        <f t="shared" si="6"/>
        <v>Excluded</v>
      </c>
      <c r="L80" t="str">
        <f t="shared" si="7"/>
        <v>Included</v>
      </c>
    </row>
    <row r="81" spans="1:12" x14ac:dyDescent="0.3">
      <c r="A81" t="s">
        <v>146</v>
      </c>
      <c r="B81" t="s">
        <v>36</v>
      </c>
      <c r="C81" t="s">
        <v>9</v>
      </c>
      <c r="D81" t="s">
        <v>186</v>
      </c>
      <c r="E81" t="s">
        <v>26</v>
      </c>
      <c r="F81">
        <v>43</v>
      </c>
      <c r="G81" t="s">
        <v>153</v>
      </c>
      <c r="H81">
        <v>168485</v>
      </c>
      <c r="I81" t="b">
        <f t="shared" si="4"/>
        <v>0</v>
      </c>
      <c r="J81" t="str">
        <f t="shared" si="5"/>
        <v>No Bonus</v>
      </c>
      <c r="K81" t="str">
        <f t="shared" si="6"/>
        <v>Excluded</v>
      </c>
      <c r="L81" t="str">
        <f t="shared" si="7"/>
        <v>Included</v>
      </c>
    </row>
    <row r="82" spans="1:12" x14ac:dyDescent="0.3">
      <c r="A82" t="s">
        <v>130</v>
      </c>
      <c r="B82" t="s">
        <v>36</v>
      </c>
      <c r="C82" t="s">
        <v>20</v>
      </c>
      <c r="D82" t="s">
        <v>186</v>
      </c>
      <c r="E82" t="s">
        <v>10</v>
      </c>
      <c r="F82">
        <v>44</v>
      </c>
      <c r="G82" t="s">
        <v>154</v>
      </c>
      <c r="H82">
        <v>78617</v>
      </c>
      <c r="I82" t="b">
        <f t="shared" si="4"/>
        <v>0</v>
      </c>
      <c r="J82" t="str">
        <f t="shared" si="5"/>
        <v>No Bonus</v>
      </c>
      <c r="K82" t="str">
        <f t="shared" si="6"/>
        <v>Excluded</v>
      </c>
      <c r="L82" t="str">
        <f t="shared" si="7"/>
        <v>Included</v>
      </c>
    </row>
    <row r="83" spans="1:12" x14ac:dyDescent="0.3">
      <c r="A83" t="s">
        <v>155</v>
      </c>
      <c r="B83" t="s">
        <v>36</v>
      </c>
      <c r="C83" t="s">
        <v>9</v>
      </c>
      <c r="D83" t="s">
        <v>186</v>
      </c>
      <c r="E83" t="s">
        <v>10</v>
      </c>
      <c r="F83">
        <v>27</v>
      </c>
      <c r="G83" t="s">
        <v>156</v>
      </c>
      <c r="H83">
        <v>153503</v>
      </c>
      <c r="I83" t="b">
        <f t="shared" si="4"/>
        <v>0</v>
      </c>
      <c r="J83" t="str">
        <f t="shared" si="5"/>
        <v>No Bonus</v>
      </c>
      <c r="K83" t="str">
        <f t="shared" si="6"/>
        <v>Excluded</v>
      </c>
      <c r="L83" t="str">
        <f t="shared" si="7"/>
        <v>Included</v>
      </c>
    </row>
    <row r="84" spans="1:12" x14ac:dyDescent="0.3">
      <c r="A84" t="s">
        <v>99</v>
      </c>
      <c r="B84" t="s">
        <v>13</v>
      </c>
      <c r="C84" t="s">
        <v>9</v>
      </c>
      <c r="D84" t="s">
        <v>187</v>
      </c>
      <c r="E84" t="s">
        <v>26</v>
      </c>
      <c r="F84">
        <v>34</v>
      </c>
      <c r="G84" t="s">
        <v>157</v>
      </c>
      <c r="H84">
        <v>41651</v>
      </c>
      <c r="I84" t="b">
        <f t="shared" si="4"/>
        <v>0</v>
      </c>
      <c r="J84" t="str">
        <f t="shared" si="5"/>
        <v>No Bonus</v>
      </c>
      <c r="K84" t="str">
        <f t="shared" si="6"/>
        <v>Excluded</v>
      </c>
      <c r="L84" t="str">
        <f t="shared" si="7"/>
        <v>Excluded</v>
      </c>
    </row>
    <row r="85" spans="1:12" x14ac:dyDescent="0.3">
      <c r="A85" t="s">
        <v>32</v>
      </c>
      <c r="B85" t="s">
        <v>19</v>
      </c>
      <c r="C85" t="s">
        <v>20</v>
      </c>
      <c r="D85" t="s">
        <v>187</v>
      </c>
      <c r="E85" t="s">
        <v>26</v>
      </c>
      <c r="F85">
        <v>33</v>
      </c>
      <c r="G85" t="s">
        <v>158</v>
      </c>
      <c r="H85">
        <v>96318</v>
      </c>
      <c r="I85" t="b">
        <f t="shared" si="4"/>
        <v>0</v>
      </c>
      <c r="J85" t="str">
        <f t="shared" si="5"/>
        <v>No Bonus</v>
      </c>
      <c r="K85" t="str">
        <f t="shared" si="6"/>
        <v>Excluded</v>
      </c>
      <c r="L85" t="str">
        <f t="shared" si="7"/>
        <v>Excluded</v>
      </c>
    </row>
    <row r="86" spans="1:12" x14ac:dyDescent="0.3">
      <c r="A86" t="s">
        <v>149</v>
      </c>
      <c r="B86" t="s">
        <v>23</v>
      </c>
      <c r="C86" t="s">
        <v>14</v>
      </c>
      <c r="D86" t="s">
        <v>187</v>
      </c>
      <c r="E86" t="s">
        <v>26</v>
      </c>
      <c r="F86">
        <v>22</v>
      </c>
      <c r="G86" t="s">
        <v>159</v>
      </c>
      <c r="H86">
        <v>86787</v>
      </c>
      <c r="I86" t="b">
        <f t="shared" si="4"/>
        <v>0</v>
      </c>
      <c r="J86" t="str">
        <f t="shared" si="5"/>
        <v>No Bonus</v>
      </c>
      <c r="K86" t="str">
        <f t="shared" si="6"/>
        <v>Included</v>
      </c>
      <c r="L86" t="str">
        <f t="shared" si="7"/>
        <v>Excluded</v>
      </c>
    </row>
    <row r="87" spans="1:12" x14ac:dyDescent="0.3">
      <c r="A87" t="s">
        <v>66</v>
      </c>
      <c r="B87" t="s">
        <v>13</v>
      </c>
      <c r="C87" t="s">
        <v>14</v>
      </c>
      <c r="D87" t="s">
        <v>187</v>
      </c>
      <c r="E87" t="s">
        <v>26</v>
      </c>
      <c r="F87">
        <v>25</v>
      </c>
      <c r="G87" t="s">
        <v>160</v>
      </c>
      <c r="H87">
        <v>119588</v>
      </c>
      <c r="I87" t="b">
        <f t="shared" si="4"/>
        <v>0</v>
      </c>
      <c r="J87" t="str">
        <f t="shared" si="5"/>
        <v>No Bonus</v>
      </c>
      <c r="K87" t="str">
        <f t="shared" si="6"/>
        <v>Included</v>
      </c>
      <c r="L87" t="str">
        <f t="shared" si="7"/>
        <v>Excluded</v>
      </c>
    </row>
    <row r="88" spans="1:12" x14ac:dyDescent="0.3">
      <c r="A88" t="s">
        <v>161</v>
      </c>
      <c r="B88" t="s">
        <v>23</v>
      </c>
      <c r="C88" t="s">
        <v>14</v>
      </c>
      <c r="D88" t="s">
        <v>186</v>
      </c>
      <c r="E88" t="s">
        <v>10</v>
      </c>
      <c r="F88">
        <v>42</v>
      </c>
      <c r="G88" t="s">
        <v>162</v>
      </c>
      <c r="H88">
        <v>67670</v>
      </c>
      <c r="I88" t="b">
        <f t="shared" si="4"/>
        <v>0</v>
      </c>
      <c r="J88" t="str">
        <f t="shared" si="5"/>
        <v>No Bonus</v>
      </c>
      <c r="K88" t="str">
        <f t="shared" si="6"/>
        <v>Excluded</v>
      </c>
      <c r="L88" t="str">
        <f t="shared" si="7"/>
        <v>Included</v>
      </c>
    </row>
    <row r="89" spans="1:12" x14ac:dyDescent="0.3">
      <c r="A89" t="s">
        <v>107</v>
      </c>
      <c r="B89" t="s">
        <v>8</v>
      </c>
      <c r="C89" t="s">
        <v>49</v>
      </c>
      <c r="D89" t="s">
        <v>186</v>
      </c>
      <c r="E89" t="s">
        <v>10</v>
      </c>
      <c r="F89">
        <v>29</v>
      </c>
      <c r="G89" t="s">
        <v>163</v>
      </c>
      <c r="H89">
        <v>165469</v>
      </c>
      <c r="I89" t="b">
        <f t="shared" si="4"/>
        <v>0</v>
      </c>
      <c r="J89" t="str">
        <f t="shared" si="5"/>
        <v>No Bonus</v>
      </c>
      <c r="K89" t="str">
        <f t="shared" si="6"/>
        <v>Excluded</v>
      </c>
      <c r="L89" t="str">
        <f t="shared" si="7"/>
        <v>Included</v>
      </c>
    </row>
    <row r="90" spans="1:12" x14ac:dyDescent="0.3">
      <c r="A90" t="s">
        <v>164</v>
      </c>
      <c r="B90" t="s">
        <v>36</v>
      </c>
      <c r="C90" t="s">
        <v>33</v>
      </c>
      <c r="D90" t="s">
        <v>186</v>
      </c>
      <c r="E90" t="s">
        <v>10</v>
      </c>
      <c r="F90">
        <v>44</v>
      </c>
      <c r="G90" t="s">
        <v>165</v>
      </c>
      <c r="H90">
        <v>168562</v>
      </c>
      <c r="I90" t="b">
        <f t="shared" si="4"/>
        <v>0</v>
      </c>
      <c r="J90" t="str">
        <f t="shared" si="5"/>
        <v>No Bonus</v>
      </c>
      <c r="K90" t="str">
        <f t="shared" si="6"/>
        <v>Excluded</v>
      </c>
      <c r="L90" t="str">
        <f t="shared" si="7"/>
        <v>Included</v>
      </c>
    </row>
    <row r="91" spans="1:12" x14ac:dyDescent="0.3">
      <c r="A91" t="s">
        <v>166</v>
      </c>
      <c r="B91" t="s">
        <v>36</v>
      </c>
      <c r="C91" t="s">
        <v>9</v>
      </c>
      <c r="D91" t="s">
        <v>186</v>
      </c>
      <c r="E91" t="s">
        <v>10</v>
      </c>
      <c r="F91">
        <v>27</v>
      </c>
      <c r="G91" t="s">
        <v>167</v>
      </c>
      <c r="H91">
        <v>196418</v>
      </c>
      <c r="I91" t="b">
        <f t="shared" si="4"/>
        <v>0</v>
      </c>
      <c r="J91" t="str">
        <f t="shared" si="5"/>
        <v>No Bonus</v>
      </c>
      <c r="K91" t="str">
        <f t="shared" si="6"/>
        <v>Excluded</v>
      </c>
      <c r="L91" t="str">
        <f t="shared" si="7"/>
        <v>Included</v>
      </c>
    </row>
    <row r="92" spans="1:12" x14ac:dyDescent="0.3">
      <c r="A92" t="s">
        <v>93</v>
      </c>
      <c r="B92" t="s">
        <v>19</v>
      </c>
      <c r="C92" t="s">
        <v>9</v>
      </c>
      <c r="D92" t="s">
        <v>186</v>
      </c>
      <c r="E92" t="s">
        <v>26</v>
      </c>
      <c r="F92">
        <v>48</v>
      </c>
      <c r="G92" t="s">
        <v>168</v>
      </c>
      <c r="H92">
        <v>154490</v>
      </c>
      <c r="I92" t="b">
        <f t="shared" si="4"/>
        <v>0</v>
      </c>
      <c r="J92" t="str">
        <f t="shared" si="5"/>
        <v>No Bonus</v>
      </c>
      <c r="K92" t="str">
        <f t="shared" si="6"/>
        <v>Excluded</v>
      </c>
      <c r="L92" t="str">
        <f t="shared" si="7"/>
        <v>Included</v>
      </c>
    </row>
    <row r="93" spans="1:12" x14ac:dyDescent="0.3">
      <c r="A93" t="s">
        <v>169</v>
      </c>
      <c r="B93" t="s">
        <v>19</v>
      </c>
      <c r="C93" t="s">
        <v>49</v>
      </c>
      <c r="D93" t="s">
        <v>186</v>
      </c>
      <c r="E93" t="s">
        <v>10</v>
      </c>
      <c r="F93">
        <v>39</v>
      </c>
      <c r="G93" t="s">
        <v>170</v>
      </c>
      <c r="H93">
        <v>170856</v>
      </c>
      <c r="I93" t="b">
        <f t="shared" si="4"/>
        <v>0</v>
      </c>
      <c r="J93" t="str">
        <f t="shared" si="5"/>
        <v>No Bonus</v>
      </c>
      <c r="K93" t="str">
        <f t="shared" si="6"/>
        <v>Excluded</v>
      </c>
      <c r="L93" t="str">
        <f t="shared" si="7"/>
        <v>Included</v>
      </c>
    </row>
    <row r="94" spans="1:12" x14ac:dyDescent="0.3">
      <c r="A94" t="s">
        <v>139</v>
      </c>
      <c r="B94" t="s">
        <v>13</v>
      </c>
      <c r="C94" t="s">
        <v>14</v>
      </c>
      <c r="D94" t="s">
        <v>186</v>
      </c>
      <c r="E94" t="s">
        <v>26</v>
      </c>
      <c r="F94">
        <v>23</v>
      </c>
      <c r="G94" t="s">
        <v>171</v>
      </c>
      <c r="H94">
        <v>104761</v>
      </c>
      <c r="I94" t="b">
        <f t="shared" si="4"/>
        <v>0</v>
      </c>
      <c r="J94" t="str">
        <f t="shared" si="5"/>
        <v>No Bonus</v>
      </c>
      <c r="K94" t="str">
        <f t="shared" si="6"/>
        <v>Excluded</v>
      </c>
      <c r="L94" t="str">
        <f t="shared" si="7"/>
        <v>Included</v>
      </c>
    </row>
    <row r="95" spans="1:12" x14ac:dyDescent="0.3">
      <c r="A95" t="s">
        <v>64</v>
      </c>
      <c r="B95" t="s">
        <v>8</v>
      </c>
      <c r="C95" t="s">
        <v>49</v>
      </c>
      <c r="D95" t="s">
        <v>187</v>
      </c>
      <c r="E95" t="s">
        <v>10</v>
      </c>
      <c r="F95">
        <v>36</v>
      </c>
      <c r="G95" t="s">
        <v>172</v>
      </c>
      <c r="H95">
        <v>188718</v>
      </c>
      <c r="I95" t="b">
        <f t="shared" si="4"/>
        <v>0</v>
      </c>
      <c r="J95" t="str">
        <f t="shared" si="5"/>
        <v>No Bonus</v>
      </c>
      <c r="K95" t="str">
        <f t="shared" si="6"/>
        <v>Excluded</v>
      </c>
      <c r="L95" t="str">
        <f t="shared" si="7"/>
        <v>Included</v>
      </c>
    </row>
    <row r="96" spans="1:12" x14ac:dyDescent="0.3">
      <c r="A96" t="s">
        <v>60</v>
      </c>
      <c r="B96" t="s">
        <v>23</v>
      </c>
      <c r="C96" t="s">
        <v>14</v>
      </c>
      <c r="D96" t="s">
        <v>187</v>
      </c>
      <c r="E96" t="s">
        <v>10</v>
      </c>
      <c r="F96">
        <v>31</v>
      </c>
      <c r="G96" t="s">
        <v>173</v>
      </c>
      <c r="H96">
        <v>129200</v>
      </c>
      <c r="I96" t="b">
        <f t="shared" si="4"/>
        <v>0</v>
      </c>
      <c r="J96" t="str">
        <f t="shared" si="5"/>
        <v>No Bonus</v>
      </c>
      <c r="K96" t="str">
        <f t="shared" si="6"/>
        <v>Included</v>
      </c>
      <c r="L96" t="str">
        <f t="shared" si="7"/>
        <v>Included</v>
      </c>
    </row>
    <row r="97" spans="1:12" x14ac:dyDescent="0.3">
      <c r="A97" t="s">
        <v>118</v>
      </c>
      <c r="B97" t="s">
        <v>13</v>
      </c>
      <c r="C97" t="s">
        <v>20</v>
      </c>
      <c r="D97" t="s">
        <v>187</v>
      </c>
      <c r="E97" t="s">
        <v>26</v>
      </c>
      <c r="F97">
        <v>28</v>
      </c>
      <c r="G97" t="s">
        <v>174</v>
      </c>
      <c r="H97">
        <v>51207</v>
      </c>
      <c r="I97" t="b">
        <f t="shared" si="4"/>
        <v>0</v>
      </c>
      <c r="J97" t="str">
        <f t="shared" si="5"/>
        <v>No Bonus</v>
      </c>
      <c r="K97" t="str">
        <f t="shared" si="6"/>
        <v>Excluded</v>
      </c>
      <c r="L97" t="str">
        <f t="shared" si="7"/>
        <v>Excluded</v>
      </c>
    </row>
    <row r="98" spans="1:12" x14ac:dyDescent="0.3">
      <c r="A98" t="s">
        <v>175</v>
      </c>
      <c r="B98" t="s">
        <v>8</v>
      </c>
      <c r="C98" t="s">
        <v>14</v>
      </c>
      <c r="D98" t="s">
        <v>187</v>
      </c>
      <c r="E98" t="s">
        <v>10</v>
      </c>
      <c r="F98">
        <v>39</v>
      </c>
      <c r="G98" t="s">
        <v>176</v>
      </c>
      <c r="H98">
        <v>84684</v>
      </c>
      <c r="I98" t="b">
        <f t="shared" si="4"/>
        <v>0</v>
      </c>
      <c r="J98" t="str">
        <f t="shared" si="5"/>
        <v>No Bonus</v>
      </c>
      <c r="K98" t="str">
        <f t="shared" si="6"/>
        <v>Included</v>
      </c>
      <c r="L98" t="str">
        <f t="shared" si="7"/>
        <v>Included</v>
      </c>
    </row>
    <row r="99" spans="1:12" x14ac:dyDescent="0.3">
      <c r="A99" t="s">
        <v>7</v>
      </c>
      <c r="B99" t="s">
        <v>13</v>
      </c>
      <c r="C99" t="s">
        <v>14</v>
      </c>
      <c r="D99" t="s">
        <v>187</v>
      </c>
      <c r="E99" t="s">
        <v>26</v>
      </c>
      <c r="F99">
        <v>42</v>
      </c>
      <c r="G99" t="s">
        <v>177</v>
      </c>
      <c r="H99">
        <v>137357</v>
      </c>
      <c r="I99" t="b">
        <f t="shared" si="4"/>
        <v>0</v>
      </c>
      <c r="J99" t="str">
        <f t="shared" si="5"/>
        <v>No Bonus</v>
      </c>
      <c r="K99" t="str">
        <f t="shared" si="6"/>
        <v>Included</v>
      </c>
      <c r="L99" t="str">
        <f t="shared" si="7"/>
        <v>Excluded</v>
      </c>
    </row>
    <row r="100" spans="1:12" x14ac:dyDescent="0.3">
      <c r="A100" t="s">
        <v>146</v>
      </c>
      <c r="B100" t="s">
        <v>23</v>
      </c>
      <c r="C100" t="s">
        <v>49</v>
      </c>
      <c r="D100" t="s">
        <v>187</v>
      </c>
      <c r="E100" t="s">
        <v>10</v>
      </c>
      <c r="F100">
        <v>47</v>
      </c>
      <c r="G100" t="s">
        <v>178</v>
      </c>
      <c r="H100">
        <v>184440</v>
      </c>
      <c r="I100" t="b">
        <f t="shared" si="4"/>
        <v>0</v>
      </c>
      <c r="J100" t="str">
        <f t="shared" si="5"/>
        <v>No Bonus</v>
      </c>
      <c r="K100" t="str">
        <f t="shared" si="6"/>
        <v>Excluded</v>
      </c>
      <c r="L100" t="str">
        <f t="shared" si="7"/>
        <v>Included</v>
      </c>
    </row>
    <row r="101" spans="1:12" x14ac:dyDescent="0.3">
      <c r="A101" t="s">
        <v>179</v>
      </c>
      <c r="B101" t="s">
        <v>8</v>
      </c>
      <c r="C101" t="s">
        <v>49</v>
      </c>
      <c r="D101" t="s">
        <v>186</v>
      </c>
      <c r="E101" t="s">
        <v>10</v>
      </c>
      <c r="F101">
        <v>55</v>
      </c>
      <c r="G101" t="s">
        <v>180</v>
      </c>
      <c r="H101">
        <v>180758</v>
      </c>
      <c r="I101" t="b">
        <f t="shared" si="4"/>
        <v>1</v>
      </c>
      <c r="J101" t="str">
        <f t="shared" si="5"/>
        <v>Bonus</v>
      </c>
      <c r="K101" t="str">
        <f t="shared" si="6"/>
        <v>Excluded</v>
      </c>
      <c r="L101" t="str">
        <f t="shared" si="7"/>
        <v>Included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 Ul Abadin</cp:lastModifiedBy>
  <dcterms:created xsi:type="dcterms:W3CDTF">2026-01-23T15:22:00Z</dcterms:created>
  <dcterms:modified xsi:type="dcterms:W3CDTF">2026-01-23T15:54:22Z</dcterms:modified>
</cp:coreProperties>
</file>