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ain-Ul-Abadin\Desktop\Data-Analysis-Practice\Excel worksheet\"/>
    </mc:Choice>
  </mc:AlternateContent>
  <xr:revisionPtr revIDLastSave="0" documentId="8_{910624D1-5F1D-4DD8-A6C3-B27AB50E6FF6}" xr6:coauthVersionLast="47" xr6:coauthVersionMax="47" xr10:uidLastSave="{00000000-0000-0000-0000-000000000000}"/>
  <bookViews>
    <workbookView xWindow="72" yWindow="0" windowWidth="11484" windowHeight="12504" xr2:uid="{00000000-000D-0000-FFFF-FFFF00000000}"/>
  </bookViews>
  <sheets>
    <sheet name="January Expenses" sheetId="1" r:id="rId1"/>
  </sheets>
  <definedNames>
    <definedName name="Slicer_Category">#N/A</definedName>
    <definedName name="Slicer_Payment_Mod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Lst>
</workbook>
</file>

<file path=xl/calcChain.xml><?xml version="1.0" encoding="utf-8"?>
<calcChain xmlns="http://schemas.openxmlformats.org/spreadsheetml/2006/main">
  <c r="K4" i="1" l="1"/>
  <c r="K3" i="1"/>
  <c r="K2" i="1"/>
  <c r="J4" i="1"/>
  <c r="J3" i="1"/>
  <c r="J2" i="1"/>
  <c r="G3" i="1"/>
  <c r="I2" i="1"/>
  <c r="H4" i="1"/>
  <c r="H3" i="1"/>
  <c r="H2" i="1"/>
  <c r="G4" i="1"/>
  <c r="G2" i="1"/>
  <c r="P6" i="1"/>
  <c r="O5" i="1"/>
  <c r="F2" i="1"/>
  <c r="G5" i="1" l="1"/>
</calcChain>
</file>

<file path=xl/sharedStrings.xml><?xml version="1.0" encoding="utf-8"?>
<sst xmlns="http://schemas.openxmlformats.org/spreadsheetml/2006/main" count="135" uniqueCount="72">
  <si>
    <t>Date</t>
  </si>
  <si>
    <t>Category</t>
  </si>
  <si>
    <t>Sub Category</t>
  </si>
  <si>
    <t>Amount</t>
  </si>
  <si>
    <t>Payment Mode</t>
  </si>
  <si>
    <t>2026-01-01</t>
  </si>
  <si>
    <t>Food</t>
  </si>
  <si>
    <t>Groceries</t>
  </si>
  <si>
    <t>Cash</t>
  </si>
  <si>
    <t>2026-01-02</t>
  </si>
  <si>
    <t>Transport</t>
  </si>
  <si>
    <t>Fuel</t>
  </si>
  <si>
    <t>Card</t>
  </si>
  <si>
    <t>2026-01-03</t>
  </si>
  <si>
    <t>Bills</t>
  </si>
  <si>
    <t>Electricity</t>
  </si>
  <si>
    <t>Online</t>
  </si>
  <si>
    <t>2026-01-04</t>
  </si>
  <si>
    <t>Restaurant</t>
  </si>
  <si>
    <t>2026-01-05</t>
  </si>
  <si>
    <t>Shopping</t>
  </si>
  <si>
    <t>Clothes</t>
  </si>
  <si>
    <t>2026-01-06</t>
  </si>
  <si>
    <t>Health</t>
  </si>
  <si>
    <t>Medicine</t>
  </si>
  <si>
    <t>2026-01-07</t>
  </si>
  <si>
    <t>Entertainment</t>
  </si>
  <si>
    <t>Movies</t>
  </si>
  <si>
    <t>2026-01-08</t>
  </si>
  <si>
    <t>2026-01-09</t>
  </si>
  <si>
    <t>Taxi</t>
  </si>
  <si>
    <t>2026-01-10</t>
  </si>
  <si>
    <t>Internet</t>
  </si>
  <si>
    <t>2026-01-11</t>
  </si>
  <si>
    <t>2026-01-12</t>
  </si>
  <si>
    <t>Electronics</t>
  </si>
  <si>
    <t>2026-01-13</t>
  </si>
  <si>
    <t>Doctor</t>
  </si>
  <si>
    <t>2026-01-14</t>
  </si>
  <si>
    <t>Games</t>
  </si>
  <si>
    <t>2026-01-15</t>
  </si>
  <si>
    <t>2026-01-16</t>
  </si>
  <si>
    <t>2026-01-17</t>
  </si>
  <si>
    <t>Gas</t>
  </si>
  <si>
    <t>2026-01-18</t>
  </si>
  <si>
    <t>2026-01-19</t>
  </si>
  <si>
    <t>Shoes</t>
  </si>
  <si>
    <t>2026-01-20</t>
  </si>
  <si>
    <t>2026-01-21</t>
  </si>
  <si>
    <t>Streaming</t>
  </si>
  <si>
    <t>2026-01-22</t>
  </si>
  <si>
    <t>2026-01-23</t>
  </si>
  <si>
    <t>Bus</t>
  </si>
  <si>
    <t>2026-01-24</t>
  </si>
  <si>
    <t>Water</t>
  </si>
  <si>
    <t>2026-01-25</t>
  </si>
  <si>
    <t>2026-01-26</t>
  </si>
  <si>
    <t>Accessories</t>
  </si>
  <si>
    <t>2026-01-27</t>
  </si>
  <si>
    <t>Checkup</t>
  </si>
  <si>
    <t>2026-01-28</t>
  </si>
  <si>
    <t>Outing</t>
  </si>
  <si>
    <t>2026-01-29</t>
  </si>
  <si>
    <t>2026-01-30</t>
  </si>
  <si>
    <t>2026-01-31</t>
  </si>
  <si>
    <t>Mobile</t>
  </si>
  <si>
    <t>Sum</t>
  </si>
  <si>
    <t>Sumif</t>
  </si>
  <si>
    <t>Count</t>
  </si>
  <si>
    <t>Countif</t>
  </si>
  <si>
    <t>Sumifs</t>
  </si>
  <si>
    <t>Countifs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</si>
</sst>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xdr:col>
      <xdr:colOff>240419</xdr:colOff>
      <xdr:row>5</xdr:row>
      <xdr:rowOff>124410</xdr:rowOff>
    </xdr:from>
    <xdr:to>
      <xdr:col>8</xdr:col>
      <xdr:colOff>62204</xdr:colOff>
      <xdr:row>13</xdr:row>
      <xdr:rowOff>46654</xdr:rowOff>
    </xdr:to>
    <mc:AlternateContent xmlns:mc="http://schemas.openxmlformats.org/markup-compatibility/2006">
      <mc:Choice xmlns:sle15="http://schemas.microsoft.com/office/drawing/2012/slicer" Requires="sle15">
        <xdr:graphicFrame macro="">
          <xdr:nvGraphicFramePr>
            <xdr:cNvPr id="2" name="Payment Mode">
              <a:extLst>
                <a:ext uri="{FF2B5EF4-FFF2-40B4-BE49-F238E27FC236}">
                  <a16:creationId xmlns:a16="http://schemas.microsoft.com/office/drawing/2014/main" id="{5EA40AC1-8A98-0CB0-B323-92ACE9A7C3D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4540276" y="1057471"/>
              <a:ext cx="1641255" cy="14151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240419</xdr:colOff>
      <xdr:row>13</xdr:row>
      <xdr:rowOff>163286</xdr:rowOff>
    </xdr:from>
    <xdr:to>
      <xdr:col>8</xdr:col>
      <xdr:colOff>249749</xdr:colOff>
      <xdr:row>27</xdr:row>
      <xdr:rowOff>17689</xdr:rowOff>
    </xdr:to>
    <mc:AlternateContent xmlns:mc="http://schemas.openxmlformats.org/markup-compatibility/2006">
      <mc:Choice xmlns:sle15="http://schemas.microsoft.com/office/drawing/2012/slicer" Requires="sle15">
        <xdr:graphicFrame macro="">
          <xdr:nvGraphicFramePr>
            <xdr:cNvPr id="4" name="Category">
              <a:extLst>
                <a:ext uri="{FF2B5EF4-FFF2-40B4-BE49-F238E27FC236}">
                  <a16:creationId xmlns:a16="http://schemas.microsoft.com/office/drawing/2014/main" id="{05A45C57-78AF-BBDE-3528-18F46C0C08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40276" y="25892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83AB219-D074-4897-BA03-05D8241C8CB3}" sourceName="Payment Mode">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B91708-0582-4746-8FAB-64BBF56A7FC8}" sourceName="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29CE1754-0502-4C69-86B0-A5B47B91EB28}" cache="Slicer_Payment_Mode" caption="Payment Mode" style="SlicerStyleLight4" rowHeight="234950"/>
  <slicer name="Category" xr10:uid="{C28DB8B8-1EED-4250-9F52-262B0A42A61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C091C-3491-4F48-8FEE-D39ACCF522CA}" name="Table1" displayName="Table1" ref="A1:E32" totalsRowShown="0">
  <autoFilter ref="A1:E32" xr:uid="{5B3C091C-3491-4F48-8FEE-D39ACCF522CA}"/>
  <tableColumns count="5">
    <tableColumn id="1" xr3:uid="{018339FA-5599-42C6-B317-59CC51BE3B96}" name="Date"/>
    <tableColumn id="2" xr3:uid="{61B97424-10DD-4DF9-A8E9-0AAF27085BF6}" name="Category"/>
    <tableColumn id="3" xr3:uid="{C4A3C48F-1F6A-4822-95E7-A33DC929A9BE}" name="Sub Category"/>
    <tableColumn id="4" xr3:uid="{D9AC988F-817D-486B-8DD0-0F87C1D78DA4}" name="Amount"/>
    <tableColumn id="5" xr3:uid="{08286F7A-1323-4BD7-A455-B615310DBCA8}" name="Payment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tabSelected="1" zoomScale="98" zoomScaleNormal="98" workbookViewId="0">
      <selection activeCell="D14" sqref="D14"/>
    </sheetView>
  </sheetViews>
  <sheetFormatPr defaultRowHeight="14.4" x14ac:dyDescent="0.3"/>
  <cols>
    <col min="1" max="1" width="10.33203125" bestFit="1" customWidth="1"/>
    <col min="2" max="2" width="12.6640625" bestFit="1" customWidth="1"/>
    <col min="3" max="3" width="14.109375" customWidth="1"/>
    <col min="4" max="4" width="9.77734375" customWidth="1"/>
    <col min="5" max="5" width="15.88671875" customWidth="1"/>
  </cols>
  <sheetData>
    <row r="1" spans="1:16" x14ac:dyDescent="0.3">
      <c r="A1" t="s">
        <v>0</v>
      </c>
      <c r="B1" t="s">
        <v>1</v>
      </c>
      <c r="C1" t="s">
        <v>2</v>
      </c>
      <c r="D1" t="s">
        <v>3</v>
      </c>
      <c r="E1" t="s">
        <v>4</v>
      </c>
      <c r="F1" t="s">
        <v>66</v>
      </c>
      <c r="G1" t="s">
        <v>67</v>
      </c>
      <c r="H1" t="s">
        <v>70</v>
      </c>
      <c r="I1" t="s">
        <v>68</v>
      </c>
      <c r="J1" t="s">
        <v>69</v>
      </c>
      <c r="K1" t="s">
        <v>71</v>
      </c>
    </row>
    <row r="2" spans="1:16" x14ac:dyDescent="0.3">
      <c r="A2" t="s">
        <v>5</v>
      </c>
      <c r="B2" t="s">
        <v>6</v>
      </c>
      <c r="C2" t="s">
        <v>7</v>
      </c>
      <c r="D2">
        <v>1200</v>
      </c>
      <c r="E2" t="s">
        <v>8</v>
      </c>
      <c r="F2">
        <f>SUM(D:D)</f>
        <v>40000</v>
      </c>
      <c r="G2">
        <f>SUMIF(Table1[Payment Mode],"Cash",Table1[Amount])</f>
        <v>15750</v>
      </c>
      <c r="H2">
        <f>SUMIFS(Table1[Amount],Table1[Payment Mode],"Cash",Table1[Sub Category],"Groceries")</f>
        <v>6500</v>
      </c>
      <c r="I2">
        <f>COUNT(Table1[Amount])</f>
        <v>31</v>
      </c>
      <c r="J2">
        <f>COUNTIF(Table1[Payment Mode],"Cash")</f>
        <v>15</v>
      </c>
      <c r="K2">
        <f>COUNTIFS(Table1[Payment Mode],"Cash",Table1[Category],"Food")</f>
        <v>6</v>
      </c>
      <c r="O2">
        <v>40</v>
      </c>
      <c r="P2">
        <v>50</v>
      </c>
    </row>
    <row r="3" spans="1:16" x14ac:dyDescent="0.3">
      <c r="A3" t="s">
        <v>9</v>
      </c>
      <c r="B3" t="s">
        <v>10</v>
      </c>
      <c r="C3" t="s">
        <v>11</v>
      </c>
      <c r="D3">
        <v>800</v>
      </c>
      <c r="E3" t="s">
        <v>12</v>
      </c>
      <c r="G3">
        <f>SUMIF(Table1[Payment Mode],"Online",Table1[Amount])</f>
        <v>6100</v>
      </c>
      <c r="H3">
        <f>SUMIFS(Table1[Amount],Table1[Payment Mode],"Card",Table1[Sub Category],"Fuel")</f>
        <v>2550</v>
      </c>
      <c r="J3">
        <f>COUNTIF(Table1[Payment Mode],"Online")</f>
        <v>6</v>
      </c>
      <c r="K3">
        <f>COUNTIFS(Table1[Payment Mode],"Online",Table1[Category],"Bills")</f>
        <v>3</v>
      </c>
      <c r="O3">
        <v>70</v>
      </c>
      <c r="P3">
        <v>60</v>
      </c>
    </row>
    <row r="4" spans="1:16" x14ac:dyDescent="0.3">
      <c r="A4" t="s">
        <v>13</v>
      </c>
      <c r="B4" t="s">
        <v>14</v>
      </c>
      <c r="C4" t="s">
        <v>15</v>
      </c>
      <c r="D4">
        <v>1500</v>
      </c>
      <c r="E4" t="s">
        <v>16</v>
      </c>
      <c r="G4">
        <f>SUMIF(Table1[Payment Mode],"Card",Table1[Amount])</f>
        <v>18150</v>
      </c>
      <c r="H4">
        <f>SUMIFS(Table1[Amount],Table1[Payment Mode],"Online",Table1[Category],"Health")</f>
        <v>0</v>
      </c>
      <c r="J4">
        <f>COUNTIF(Table1[Payment Mode],"Card")</f>
        <v>10</v>
      </c>
      <c r="K4">
        <f>COUNTIFS(Table1[Category],"Transport",Table1[Payment Mode],"Cash")</f>
        <v>2</v>
      </c>
      <c r="O4">
        <v>20</v>
      </c>
      <c r="P4">
        <v>70</v>
      </c>
    </row>
    <row r="5" spans="1:16" x14ac:dyDescent="0.3">
      <c r="A5" t="s">
        <v>17</v>
      </c>
      <c r="B5" t="s">
        <v>6</v>
      </c>
      <c r="C5" t="s">
        <v>18</v>
      </c>
      <c r="D5">
        <v>900</v>
      </c>
      <c r="E5" t="s">
        <v>8</v>
      </c>
      <c r="G5">
        <f>SUM(G2:G4)</f>
        <v>40000</v>
      </c>
      <c r="O5">
        <f>SUM(O2:O4)</f>
        <v>130</v>
      </c>
      <c r="P5">
        <v>80</v>
      </c>
    </row>
    <row r="6" spans="1:16" x14ac:dyDescent="0.3">
      <c r="A6" t="s">
        <v>19</v>
      </c>
      <c r="B6" t="s">
        <v>20</v>
      </c>
      <c r="C6" t="s">
        <v>21</v>
      </c>
      <c r="D6">
        <v>2500</v>
      </c>
      <c r="E6" t="s">
        <v>12</v>
      </c>
      <c r="P6">
        <f>SUM(P2:P5)</f>
        <v>260</v>
      </c>
    </row>
    <row r="7" spans="1:16" x14ac:dyDescent="0.3">
      <c r="A7" t="s">
        <v>22</v>
      </c>
      <c r="B7" t="s">
        <v>23</v>
      </c>
      <c r="C7" t="s">
        <v>24</v>
      </c>
      <c r="D7">
        <v>600</v>
      </c>
      <c r="E7" t="s">
        <v>8</v>
      </c>
    </row>
    <row r="8" spans="1:16" x14ac:dyDescent="0.3">
      <c r="A8" t="s">
        <v>25</v>
      </c>
      <c r="B8" t="s">
        <v>26</v>
      </c>
      <c r="C8" t="s">
        <v>27</v>
      </c>
      <c r="D8">
        <v>700</v>
      </c>
      <c r="E8" t="s">
        <v>16</v>
      </c>
    </row>
    <row r="9" spans="1:16" x14ac:dyDescent="0.3">
      <c r="A9" t="s">
        <v>28</v>
      </c>
      <c r="B9" t="s">
        <v>6</v>
      </c>
      <c r="C9" t="s">
        <v>7</v>
      </c>
      <c r="D9">
        <v>1300</v>
      </c>
      <c r="E9" t="s">
        <v>8</v>
      </c>
    </row>
    <row r="10" spans="1:16" x14ac:dyDescent="0.3">
      <c r="A10" t="s">
        <v>29</v>
      </c>
      <c r="B10" t="s">
        <v>10</v>
      </c>
      <c r="C10" t="s">
        <v>30</v>
      </c>
      <c r="D10">
        <v>500</v>
      </c>
      <c r="E10" t="s">
        <v>8</v>
      </c>
    </row>
    <row r="11" spans="1:16" x14ac:dyDescent="0.3">
      <c r="A11" t="s">
        <v>31</v>
      </c>
      <c r="B11" t="s">
        <v>14</v>
      </c>
      <c r="C11" t="s">
        <v>32</v>
      </c>
      <c r="D11">
        <v>1800</v>
      </c>
      <c r="E11" t="s">
        <v>16</v>
      </c>
    </row>
    <row r="12" spans="1:16" x14ac:dyDescent="0.3">
      <c r="A12" t="s">
        <v>33</v>
      </c>
      <c r="B12" t="s">
        <v>6</v>
      </c>
      <c r="C12" t="s">
        <v>18</v>
      </c>
      <c r="D12">
        <v>1100</v>
      </c>
      <c r="E12" t="s">
        <v>12</v>
      </c>
    </row>
    <row r="13" spans="1:16" x14ac:dyDescent="0.3">
      <c r="A13" t="s">
        <v>34</v>
      </c>
      <c r="B13" t="s">
        <v>20</v>
      </c>
      <c r="C13" t="s">
        <v>35</v>
      </c>
      <c r="D13">
        <v>5000</v>
      </c>
      <c r="E13" t="s">
        <v>12</v>
      </c>
    </row>
    <row r="14" spans="1:16" x14ac:dyDescent="0.3">
      <c r="A14" t="s">
        <v>36</v>
      </c>
      <c r="B14" t="s">
        <v>23</v>
      </c>
      <c r="C14" t="s">
        <v>37</v>
      </c>
      <c r="D14">
        <v>1200</v>
      </c>
      <c r="E14" t="s">
        <v>8</v>
      </c>
    </row>
    <row r="15" spans="1:16" x14ac:dyDescent="0.3">
      <c r="A15" t="s">
        <v>38</v>
      </c>
      <c r="B15" t="s">
        <v>26</v>
      </c>
      <c r="C15" t="s">
        <v>39</v>
      </c>
      <c r="D15">
        <v>900</v>
      </c>
      <c r="E15" t="s">
        <v>16</v>
      </c>
    </row>
    <row r="16" spans="1:16" x14ac:dyDescent="0.3">
      <c r="A16" t="s">
        <v>40</v>
      </c>
      <c r="B16" t="s">
        <v>6</v>
      </c>
      <c r="C16" t="s">
        <v>7</v>
      </c>
      <c r="D16">
        <v>1400</v>
      </c>
      <c r="E16" t="s">
        <v>8</v>
      </c>
    </row>
    <row r="17" spans="1:5" x14ac:dyDescent="0.3">
      <c r="A17" t="s">
        <v>41</v>
      </c>
      <c r="B17" t="s">
        <v>10</v>
      </c>
      <c r="C17" t="s">
        <v>11</v>
      </c>
      <c r="D17">
        <v>850</v>
      </c>
      <c r="E17" t="s">
        <v>12</v>
      </c>
    </row>
    <row r="18" spans="1:5" x14ac:dyDescent="0.3">
      <c r="A18" t="s">
        <v>42</v>
      </c>
      <c r="B18" t="s">
        <v>14</v>
      </c>
      <c r="C18" t="s">
        <v>43</v>
      </c>
      <c r="D18">
        <v>1000</v>
      </c>
      <c r="E18" t="s">
        <v>8</v>
      </c>
    </row>
    <row r="19" spans="1:5" x14ac:dyDescent="0.3">
      <c r="A19" t="s">
        <v>44</v>
      </c>
      <c r="B19" t="s">
        <v>6</v>
      </c>
      <c r="C19" t="s">
        <v>18</v>
      </c>
      <c r="D19">
        <v>1000</v>
      </c>
      <c r="E19" t="s">
        <v>12</v>
      </c>
    </row>
    <row r="20" spans="1:5" x14ac:dyDescent="0.3">
      <c r="A20" t="s">
        <v>45</v>
      </c>
      <c r="B20" t="s">
        <v>20</v>
      </c>
      <c r="C20" t="s">
        <v>46</v>
      </c>
      <c r="D20">
        <v>3000</v>
      </c>
      <c r="E20" t="s">
        <v>12</v>
      </c>
    </row>
    <row r="21" spans="1:5" x14ac:dyDescent="0.3">
      <c r="A21" t="s">
        <v>47</v>
      </c>
      <c r="B21" t="s">
        <v>23</v>
      </c>
      <c r="C21" t="s">
        <v>24</v>
      </c>
      <c r="D21">
        <v>650</v>
      </c>
      <c r="E21" t="s">
        <v>8</v>
      </c>
    </row>
    <row r="22" spans="1:5" x14ac:dyDescent="0.3">
      <c r="A22" t="s">
        <v>48</v>
      </c>
      <c r="B22" t="s">
        <v>26</v>
      </c>
      <c r="C22" t="s">
        <v>49</v>
      </c>
      <c r="D22">
        <v>500</v>
      </c>
      <c r="E22" t="s">
        <v>16</v>
      </c>
    </row>
    <row r="23" spans="1:5" x14ac:dyDescent="0.3">
      <c r="A23" t="s">
        <v>50</v>
      </c>
      <c r="B23" t="s">
        <v>6</v>
      </c>
      <c r="C23" t="s">
        <v>7</v>
      </c>
      <c r="D23">
        <v>1350</v>
      </c>
      <c r="E23" t="s">
        <v>8</v>
      </c>
    </row>
    <row r="24" spans="1:5" x14ac:dyDescent="0.3">
      <c r="A24" t="s">
        <v>51</v>
      </c>
      <c r="B24" t="s">
        <v>10</v>
      </c>
      <c r="C24" t="s">
        <v>52</v>
      </c>
      <c r="D24">
        <v>300</v>
      </c>
      <c r="E24" t="s">
        <v>8</v>
      </c>
    </row>
    <row r="25" spans="1:5" x14ac:dyDescent="0.3">
      <c r="A25" t="s">
        <v>53</v>
      </c>
      <c r="B25" t="s">
        <v>14</v>
      </c>
      <c r="C25" t="s">
        <v>54</v>
      </c>
      <c r="D25">
        <v>600</v>
      </c>
      <c r="E25" t="s">
        <v>8</v>
      </c>
    </row>
    <row r="26" spans="1:5" x14ac:dyDescent="0.3">
      <c r="A26" t="s">
        <v>55</v>
      </c>
      <c r="B26" t="s">
        <v>6</v>
      </c>
      <c r="C26" t="s">
        <v>18</v>
      </c>
      <c r="D26">
        <v>1200</v>
      </c>
      <c r="E26" t="s">
        <v>12</v>
      </c>
    </row>
    <row r="27" spans="1:5" x14ac:dyDescent="0.3">
      <c r="A27" t="s">
        <v>56</v>
      </c>
      <c r="B27" t="s">
        <v>20</v>
      </c>
      <c r="C27" t="s">
        <v>57</v>
      </c>
      <c r="D27">
        <v>1800</v>
      </c>
      <c r="E27" t="s">
        <v>12</v>
      </c>
    </row>
    <row r="28" spans="1:5" x14ac:dyDescent="0.3">
      <c r="A28" t="s">
        <v>58</v>
      </c>
      <c r="B28" t="s">
        <v>23</v>
      </c>
      <c r="C28" t="s">
        <v>59</v>
      </c>
      <c r="D28">
        <v>1500</v>
      </c>
      <c r="E28" t="s">
        <v>8</v>
      </c>
    </row>
    <row r="29" spans="1:5" x14ac:dyDescent="0.3">
      <c r="A29" t="s">
        <v>60</v>
      </c>
      <c r="B29" t="s">
        <v>26</v>
      </c>
      <c r="C29" t="s">
        <v>61</v>
      </c>
      <c r="D29">
        <v>2000</v>
      </c>
      <c r="E29" t="s">
        <v>8</v>
      </c>
    </row>
    <row r="30" spans="1:5" x14ac:dyDescent="0.3">
      <c r="A30" t="s">
        <v>62</v>
      </c>
      <c r="B30" t="s">
        <v>6</v>
      </c>
      <c r="C30" t="s">
        <v>7</v>
      </c>
      <c r="D30">
        <v>1250</v>
      </c>
      <c r="E30" t="s">
        <v>8</v>
      </c>
    </row>
    <row r="31" spans="1:5" x14ac:dyDescent="0.3">
      <c r="A31" t="s">
        <v>63</v>
      </c>
      <c r="B31" t="s">
        <v>10</v>
      </c>
      <c r="C31" t="s">
        <v>11</v>
      </c>
      <c r="D31">
        <v>900</v>
      </c>
      <c r="E31" t="s">
        <v>12</v>
      </c>
    </row>
    <row r="32" spans="1:5" x14ac:dyDescent="0.3">
      <c r="A32" t="s">
        <v>64</v>
      </c>
      <c r="B32" t="s">
        <v>14</v>
      </c>
      <c r="C32" t="s">
        <v>65</v>
      </c>
      <c r="D32">
        <v>700</v>
      </c>
      <c r="E32" t="s">
        <v>16</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January Expenses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 Ul Abadin</cp:lastModifiedBy>
  <dcterms:created xsi:type="dcterms:W3CDTF">2026-01-24T09:54:51Z</dcterms:created>
  <dcterms:modified xsi:type="dcterms:W3CDTF">2026-01-30T14:53:15Z</dcterms:modified>
</cp:coreProperties>
</file>