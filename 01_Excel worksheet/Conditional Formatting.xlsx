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ain-Ul-Abadin\Desktop\Data-Analysis-Practice\Excel worksheet\"/>
    </mc:Choice>
  </mc:AlternateContent>
  <xr:revisionPtr revIDLastSave="0" documentId="13_ncr:1_{101EB8ED-DB5C-4F6D-82F5-B26014BDF57E}" xr6:coauthVersionLast="47" xr6:coauthVersionMax="47" xr10:uidLastSave="{00000000-0000-0000-0000-000000000000}"/>
  <bookViews>
    <workbookView xWindow="72" yWindow="0" windowWidth="11484" windowHeight="12504" xr2:uid="{00000000-000D-0000-FFFF-FFFF00000000}"/>
  </bookViews>
  <sheets>
    <sheet name="January Expenses" sheetId="1" r:id="rId1"/>
  </sheets>
  <calcPr calcId="191029"/>
</workbook>
</file>

<file path=xl/calcChain.xml><?xml version="1.0" encoding="utf-8"?>
<calcChain xmlns="http://schemas.openxmlformats.org/spreadsheetml/2006/main">
  <c r="H4" i="1" l="1"/>
  <c r="M4" i="1"/>
  <c r="M6" i="1"/>
  <c r="M5" i="1"/>
  <c r="L6" i="1"/>
  <c r="L5" i="1"/>
  <c r="L4" i="1"/>
  <c r="I5" i="1"/>
  <c r="K4" i="1"/>
  <c r="J6" i="1"/>
  <c r="J5" i="1"/>
  <c r="J4" i="1"/>
  <c r="I6" i="1"/>
  <c r="I4" i="1"/>
  <c r="R8" i="1"/>
  <c r="Q7" i="1"/>
  <c r="I7" i="1" l="1"/>
</calcChain>
</file>

<file path=xl/sharedStrings.xml><?xml version="1.0" encoding="utf-8"?>
<sst xmlns="http://schemas.openxmlformats.org/spreadsheetml/2006/main" count="104" uniqueCount="41">
  <si>
    <t>Date</t>
  </si>
  <si>
    <t>Category</t>
  </si>
  <si>
    <t>Sub Category</t>
  </si>
  <si>
    <t>Amount</t>
  </si>
  <si>
    <t>Payment Mode</t>
  </si>
  <si>
    <t>Food</t>
  </si>
  <si>
    <t>Groceries</t>
  </si>
  <si>
    <t>Cash</t>
  </si>
  <si>
    <t>Transport</t>
  </si>
  <si>
    <t>Fuel</t>
  </si>
  <si>
    <t>Card</t>
  </si>
  <si>
    <t>Bills</t>
  </si>
  <si>
    <t>Electricity</t>
  </si>
  <si>
    <t>Online</t>
  </si>
  <si>
    <t>Restaurant</t>
  </si>
  <si>
    <t>Shopping</t>
  </si>
  <si>
    <t>Clothes</t>
  </si>
  <si>
    <t>Health</t>
  </si>
  <si>
    <t>Medicine</t>
  </si>
  <si>
    <t>Entertainment</t>
  </si>
  <si>
    <t>Movies</t>
  </si>
  <si>
    <t>Taxi</t>
  </si>
  <si>
    <t>Internet</t>
  </si>
  <si>
    <t>Electronics</t>
  </si>
  <si>
    <t>Doctor</t>
  </si>
  <si>
    <t>Games</t>
  </si>
  <si>
    <t>Gas</t>
  </si>
  <si>
    <t>Shoes</t>
  </si>
  <si>
    <t>Streaming</t>
  </si>
  <si>
    <t>Bus</t>
  </si>
  <si>
    <t>Water</t>
  </si>
  <si>
    <t>Accessories</t>
  </si>
  <si>
    <t>Checkup</t>
  </si>
  <si>
    <t>Outing</t>
  </si>
  <si>
    <t>Mobile</t>
  </si>
  <si>
    <t>Sum</t>
  </si>
  <si>
    <t>Sumif</t>
  </si>
  <si>
    <t>Count</t>
  </si>
  <si>
    <t>Countif</t>
  </si>
  <si>
    <t>Sumifs</t>
  </si>
  <si>
    <t>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</si>
</sst>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ont="1" applyFill="1" applyBorder="1"/>
    <xf numFmtId="14" fontId="0" fillId="0" borderId="0" xfId="0" applyNumberFormat="1"/>
    <xf numFmtId="0" fontId="1" fillId="2" borderId="2" xfId="0" applyFont="1" applyFill="1" applyBorder="1"/>
    <xf numFmtId="0" fontId="0" fillId="3" borderId="4" xfId="0" applyFont="1" applyFill="1" applyBorder="1"/>
    <xf numFmtId="0" fontId="0" fillId="4" borderId="1" xfId="0" applyFont="1" applyFill="1" applyBorder="1"/>
    <xf numFmtId="14" fontId="1" fillId="2" borderId="0" xfId="0" applyNumberFormat="1" applyFont="1" applyFill="1" applyBorder="1"/>
    <xf numFmtId="167" fontId="0" fillId="3" borderId="3" xfId="0" applyNumberFormat="1" applyFont="1" applyFill="1" applyBorder="1"/>
  </cellXfs>
  <cellStyles count="1">
    <cellStyle name="Normal" xfId="0" builtinId="0"/>
  </cellStyles>
  <dxfs count="8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CC995C-4567-4BEC-BDAD-5BA526CE175E}" name="Table2" displayName="Table2" ref="C3:G34" totalsRowShown="0" headerRowDxfId="80" dataDxfId="81">
  <autoFilter ref="C3:G34" xr:uid="{E8CC995C-4567-4BEC-BDAD-5BA526CE175E}"/>
  <tableColumns count="5">
    <tableColumn id="1" xr3:uid="{263188F5-3633-4689-A0B0-ED816F902C55}" name="Date" dataDxfId="79"/>
    <tableColumn id="2" xr3:uid="{68833D9D-AE8D-436A-81DE-9FD7EB839E4E}" name="Category" dataDxfId="85"/>
    <tableColumn id="3" xr3:uid="{DE59A229-73FD-4F2F-A4E4-F83CA8523444}" name="Sub Category" dataDxfId="84"/>
    <tableColumn id="4" xr3:uid="{591EBD11-7C04-453E-A59E-7203AC1B908A}" name="Amount" dataDxfId="83"/>
    <tableColumn id="5" xr3:uid="{E60A4890-C2B0-4F8E-8624-8B51DA9975CB}" name="Payment Mode" dataDxfId="8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R34"/>
  <sheetViews>
    <sheetView tabSelected="1" topLeftCell="D1" zoomScale="98" zoomScaleNormal="98" workbookViewId="0">
      <selection activeCell="J9" sqref="J9"/>
    </sheetView>
  </sheetViews>
  <sheetFormatPr defaultRowHeight="14.4" x14ac:dyDescent="0.3"/>
  <cols>
    <col min="3" max="3" width="10.5546875" style="2" bestFit="1" customWidth="1"/>
    <col min="4" max="4" width="12.88671875" bestFit="1" customWidth="1"/>
    <col min="5" max="5" width="14.44140625" customWidth="1"/>
    <col min="6" max="6" width="10.33203125" bestFit="1" customWidth="1"/>
    <col min="7" max="7" width="16.6640625" bestFit="1" customWidth="1"/>
  </cols>
  <sheetData>
    <row r="3" spans="3:18" ht="15" thickBot="1" x14ac:dyDescent="0.35">
      <c r="C3" s="6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t="s">
        <v>35</v>
      </c>
      <c r="I3" t="s">
        <v>36</v>
      </c>
      <c r="J3" t="s">
        <v>39</v>
      </c>
      <c r="K3" t="s">
        <v>37</v>
      </c>
      <c r="L3" t="s">
        <v>38</v>
      </c>
      <c r="M3" t="s">
        <v>40</v>
      </c>
    </row>
    <row r="4" spans="3:18" ht="15.6" thickTop="1" thickBot="1" x14ac:dyDescent="0.35">
      <c r="C4" s="7">
        <v>46023</v>
      </c>
      <c r="D4" s="4" t="s">
        <v>5</v>
      </c>
      <c r="E4" s="4" t="s">
        <v>6</v>
      </c>
      <c r="F4" s="4">
        <v>1200</v>
      </c>
      <c r="G4" s="4" t="s">
        <v>7</v>
      </c>
      <c r="H4">
        <f>SUM(F:F)</f>
        <v>40000</v>
      </c>
      <c r="I4">
        <f>SUMIF('January Expenses'!$G$4:$G$34,"Cash",'January Expenses'!$F$4:$F$34)</f>
        <v>15750</v>
      </c>
      <c r="J4">
        <f>SUMIFS('January Expenses'!$F$4:$F$34,'January Expenses'!$G$4:$G$34,"Cash",'January Expenses'!$E$4:$E$34,"Groceries")</f>
        <v>6500</v>
      </c>
      <c r="K4">
        <f>COUNT('January Expenses'!$F$4:$F$34)</f>
        <v>31</v>
      </c>
      <c r="L4">
        <f>COUNTIF('January Expenses'!$G$4:$G$34,"Cash")</f>
        <v>15</v>
      </c>
      <c r="M4">
        <f>COUNTIFS('January Expenses'!$G$4:$G$34,"Cash",'January Expenses'!$D$4:$D$34,"Food")</f>
        <v>6</v>
      </c>
      <c r="Q4">
        <v>40</v>
      </c>
      <c r="R4">
        <v>50</v>
      </c>
    </row>
    <row r="5" spans="3:18" ht="15.6" thickTop="1" thickBot="1" x14ac:dyDescent="0.35">
      <c r="C5" s="7">
        <v>46024</v>
      </c>
      <c r="D5" s="5" t="s">
        <v>8</v>
      </c>
      <c r="E5" s="5" t="s">
        <v>9</v>
      </c>
      <c r="F5" s="5">
        <v>800</v>
      </c>
      <c r="G5" s="5" t="s">
        <v>10</v>
      </c>
      <c r="I5">
        <f>SUMIF('January Expenses'!$G$4:$G$34,"Online",'January Expenses'!$F$4:$F$34)</f>
        <v>6100</v>
      </c>
      <c r="J5">
        <f>SUMIFS('January Expenses'!$F$4:$F$34,'January Expenses'!$G$4:$G$34,"Card",'January Expenses'!$E$4:$E$34,"Fuel")</f>
        <v>2550</v>
      </c>
      <c r="L5">
        <f>COUNTIF('January Expenses'!$G$4:$G$34,"Online")</f>
        <v>6</v>
      </c>
      <c r="M5">
        <f>COUNTIFS('January Expenses'!$G$4:$G$34,"Online",'January Expenses'!$D$4:$D$34,"Bills")</f>
        <v>3</v>
      </c>
      <c r="Q5">
        <v>70</v>
      </c>
      <c r="R5">
        <v>60</v>
      </c>
    </row>
    <row r="6" spans="3:18" ht="15.6" thickTop="1" thickBot="1" x14ac:dyDescent="0.35">
      <c r="C6" s="7">
        <v>46025</v>
      </c>
      <c r="D6" s="1" t="s">
        <v>11</v>
      </c>
      <c r="E6" s="1" t="s">
        <v>12</v>
      </c>
      <c r="F6" s="1">
        <v>1500</v>
      </c>
      <c r="G6" s="1" t="s">
        <v>13</v>
      </c>
      <c r="I6">
        <f>SUMIF('January Expenses'!$G$4:$G$34,"Card",'January Expenses'!$F$4:$F$34)</f>
        <v>18150</v>
      </c>
      <c r="J6">
        <f>SUMIFS('January Expenses'!$F$4:$F$34,'January Expenses'!$G$4:$G$34,"Online",'January Expenses'!$D$4:$D$34,"Health")</f>
        <v>0</v>
      </c>
      <c r="L6">
        <f>COUNTIF('January Expenses'!$G$4:$G$34,"Card")</f>
        <v>10</v>
      </c>
      <c r="M6">
        <f>COUNTIFS('January Expenses'!$D$4:$D$34,"Transport",'January Expenses'!$G$4:$G$34,"Cash")</f>
        <v>2</v>
      </c>
      <c r="Q6">
        <v>20</v>
      </c>
      <c r="R6">
        <v>70</v>
      </c>
    </row>
    <row r="7" spans="3:18" ht="15.6" thickTop="1" thickBot="1" x14ac:dyDescent="0.35">
      <c r="C7" s="7">
        <v>46026</v>
      </c>
      <c r="D7" s="5" t="s">
        <v>5</v>
      </c>
      <c r="E7" s="5" t="s">
        <v>14</v>
      </c>
      <c r="F7" s="5">
        <v>900</v>
      </c>
      <c r="G7" s="5" t="s">
        <v>7</v>
      </c>
      <c r="I7">
        <f>SUM(I4:I6)</f>
        <v>40000</v>
      </c>
      <c r="Q7">
        <f>SUM(Q4:Q6)</f>
        <v>130</v>
      </c>
      <c r="R7">
        <v>80</v>
      </c>
    </row>
    <row r="8" spans="3:18" ht="15.6" thickTop="1" thickBot="1" x14ac:dyDescent="0.35">
      <c r="C8" s="7">
        <v>46027</v>
      </c>
      <c r="D8" s="1" t="s">
        <v>15</v>
      </c>
      <c r="E8" s="1" t="s">
        <v>16</v>
      </c>
      <c r="F8" s="1">
        <v>2500</v>
      </c>
      <c r="G8" s="1" t="s">
        <v>10</v>
      </c>
      <c r="R8">
        <f>SUM(R4:R7)</f>
        <v>260</v>
      </c>
    </row>
    <row r="9" spans="3:18" ht="15.6" thickTop="1" thickBot="1" x14ac:dyDescent="0.35">
      <c r="C9" s="7">
        <v>46028</v>
      </c>
      <c r="D9" s="5" t="s">
        <v>17</v>
      </c>
      <c r="E9" s="5" t="s">
        <v>18</v>
      </c>
      <c r="F9" s="5">
        <v>600</v>
      </c>
      <c r="G9" s="5" t="s">
        <v>7</v>
      </c>
    </row>
    <row r="10" spans="3:18" ht="15.6" thickTop="1" thickBot="1" x14ac:dyDescent="0.35">
      <c r="C10" s="7">
        <v>46029</v>
      </c>
      <c r="D10" s="1" t="s">
        <v>19</v>
      </c>
      <c r="E10" s="1" t="s">
        <v>20</v>
      </c>
      <c r="F10" s="1">
        <v>700</v>
      </c>
      <c r="G10" s="1" t="s">
        <v>13</v>
      </c>
    </row>
    <row r="11" spans="3:18" ht="15.6" thickTop="1" thickBot="1" x14ac:dyDescent="0.35">
      <c r="C11" s="7">
        <v>46030</v>
      </c>
      <c r="D11" s="5" t="s">
        <v>5</v>
      </c>
      <c r="E11" s="5" t="s">
        <v>6</v>
      </c>
      <c r="F11" s="5">
        <v>1300</v>
      </c>
      <c r="G11" s="5" t="s">
        <v>7</v>
      </c>
    </row>
    <row r="12" spans="3:18" ht="15.6" thickTop="1" thickBot="1" x14ac:dyDescent="0.35">
      <c r="C12" s="7">
        <v>46031</v>
      </c>
      <c r="D12" s="1" t="s">
        <v>8</v>
      </c>
      <c r="E12" s="1" t="s">
        <v>21</v>
      </c>
      <c r="F12" s="1">
        <v>500</v>
      </c>
      <c r="G12" s="1" t="s">
        <v>7</v>
      </c>
    </row>
    <row r="13" spans="3:18" ht="15.6" thickTop="1" thickBot="1" x14ac:dyDescent="0.35">
      <c r="C13" s="7">
        <v>46032</v>
      </c>
      <c r="D13" s="5" t="s">
        <v>11</v>
      </c>
      <c r="E13" s="5" t="s">
        <v>22</v>
      </c>
      <c r="F13" s="5">
        <v>1800</v>
      </c>
      <c r="G13" s="5" t="s">
        <v>13</v>
      </c>
      <c r="I13">
        <v>20</v>
      </c>
      <c r="J13">
        <v>21</v>
      </c>
    </row>
    <row r="14" spans="3:18" ht="15.6" thickTop="1" thickBot="1" x14ac:dyDescent="0.35">
      <c r="C14" s="7">
        <v>46033</v>
      </c>
      <c r="D14" s="1" t="s">
        <v>5</v>
      </c>
      <c r="E14" s="1" t="s">
        <v>14</v>
      </c>
      <c r="F14" s="1">
        <v>1100</v>
      </c>
      <c r="G14" s="1" t="s">
        <v>10</v>
      </c>
      <c r="I14">
        <v>30</v>
      </c>
      <c r="J14">
        <v>22</v>
      </c>
    </row>
    <row r="15" spans="3:18" ht="15.6" thickTop="1" thickBot="1" x14ac:dyDescent="0.35">
      <c r="C15" s="7">
        <v>46034</v>
      </c>
      <c r="D15" s="5" t="s">
        <v>15</v>
      </c>
      <c r="E15" s="5" t="s">
        <v>23</v>
      </c>
      <c r="F15" s="5">
        <v>5000</v>
      </c>
      <c r="G15" s="5" t="s">
        <v>10</v>
      </c>
      <c r="I15">
        <v>60</v>
      </c>
      <c r="J15">
        <v>23</v>
      </c>
    </row>
    <row r="16" spans="3:18" ht="15.6" thickTop="1" thickBot="1" x14ac:dyDescent="0.35">
      <c r="C16" s="7">
        <v>46035</v>
      </c>
      <c r="D16" s="1" t="s">
        <v>17</v>
      </c>
      <c r="E16" s="1" t="s">
        <v>24</v>
      </c>
      <c r="F16" s="1">
        <v>1200</v>
      </c>
      <c r="G16" s="1" t="s">
        <v>7</v>
      </c>
      <c r="I16">
        <v>200</v>
      </c>
      <c r="J16">
        <v>24</v>
      </c>
    </row>
    <row r="17" spans="3:10" ht="15.6" thickTop="1" thickBot="1" x14ac:dyDescent="0.35">
      <c r="C17" s="7">
        <v>46036</v>
      </c>
      <c r="D17" s="5" t="s">
        <v>19</v>
      </c>
      <c r="E17" s="5" t="s">
        <v>25</v>
      </c>
      <c r="F17" s="5">
        <v>900</v>
      </c>
      <c r="G17" s="5" t="s">
        <v>13</v>
      </c>
      <c r="I17">
        <v>100</v>
      </c>
      <c r="J17">
        <v>25</v>
      </c>
    </row>
    <row r="18" spans="3:10" ht="15.6" thickTop="1" thickBot="1" x14ac:dyDescent="0.35">
      <c r="C18" s="7">
        <v>46037</v>
      </c>
      <c r="D18" s="1" t="s">
        <v>5</v>
      </c>
      <c r="E18" s="1" t="s">
        <v>6</v>
      </c>
      <c r="F18" s="1">
        <v>1400</v>
      </c>
      <c r="G18" s="1" t="s">
        <v>7</v>
      </c>
      <c r="I18">
        <v>150</v>
      </c>
      <c r="J18">
        <v>26</v>
      </c>
    </row>
    <row r="19" spans="3:10" ht="15.6" thickTop="1" thickBot="1" x14ac:dyDescent="0.35">
      <c r="C19" s="7">
        <v>46038</v>
      </c>
      <c r="D19" s="5" t="s">
        <v>8</v>
      </c>
      <c r="E19" s="5" t="s">
        <v>9</v>
      </c>
      <c r="F19" s="5">
        <v>850</v>
      </c>
      <c r="G19" s="5" t="s">
        <v>10</v>
      </c>
      <c r="I19">
        <v>210</v>
      </c>
      <c r="J19">
        <v>27</v>
      </c>
    </row>
    <row r="20" spans="3:10" ht="15.6" thickTop="1" thickBot="1" x14ac:dyDescent="0.35">
      <c r="C20" s="7">
        <v>46039</v>
      </c>
      <c r="D20" s="1" t="s">
        <v>11</v>
      </c>
      <c r="E20" s="1" t="s">
        <v>26</v>
      </c>
      <c r="F20" s="1">
        <v>1000</v>
      </c>
      <c r="G20" s="1" t="s">
        <v>7</v>
      </c>
      <c r="I20">
        <v>90</v>
      </c>
      <c r="J20">
        <v>28</v>
      </c>
    </row>
    <row r="21" spans="3:10" ht="15.6" thickTop="1" thickBot="1" x14ac:dyDescent="0.35">
      <c r="C21" s="7">
        <v>46040</v>
      </c>
      <c r="D21" s="5" t="s">
        <v>5</v>
      </c>
      <c r="E21" s="5" t="s">
        <v>14</v>
      </c>
      <c r="F21" s="5">
        <v>1000</v>
      </c>
      <c r="G21" s="5" t="s">
        <v>10</v>
      </c>
      <c r="I21">
        <v>75</v>
      </c>
      <c r="J21">
        <v>29</v>
      </c>
    </row>
    <row r="22" spans="3:10" ht="15.6" thickTop="1" thickBot="1" x14ac:dyDescent="0.35">
      <c r="C22" s="7">
        <v>46041</v>
      </c>
      <c r="D22" s="1" t="s">
        <v>15</v>
      </c>
      <c r="E22" s="1" t="s">
        <v>27</v>
      </c>
      <c r="F22" s="1">
        <v>3000</v>
      </c>
      <c r="G22" s="1" t="s">
        <v>10</v>
      </c>
      <c r="I22">
        <v>99</v>
      </c>
      <c r="J22">
        <v>30</v>
      </c>
    </row>
    <row r="23" spans="3:10" ht="15.6" thickTop="1" thickBot="1" x14ac:dyDescent="0.35">
      <c r="C23" s="7">
        <v>46042</v>
      </c>
      <c r="D23" s="5" t="s">
        <v>17</v>
      </c>
      <c r="E23" s="5" t="s">
        <v>18</v>
      </c>
      <c r="F23" s="5">
        <v>650</v>
      </c>
      <c r="G23" s="5" t="s">
        <v>7</v>
      </c>
    </row>
    <row r="24" spans="3:10" ht="15.6" thickTop="1" thickBot="1" x14ac:dyDescent="0.35">
      <c r="C24" s="7">
        <v>46043</v>
      </c>
      <c r="D24" s="1" t="s">
        <v>19</v>
      </c>
      <c r="E24" s="1" t="s">
        <v>28</v>
      </c>
      <c r="F24" s="1">
        <v>500</v>
      </c>
      <c r="G24" s="1" t="s">
        <v>13</v>
      </c>
    </row>
    <row r="25" spans="3:10" ht="15.6" thickTop="1" thickBot="1" x14ac:dyDescent="0.35">
      <c r="C25" s="7">
        <v>46044</v>
      </c>
      <c r="D25" s="5" t="s">
        <v>5</v>
      </c>
      <c r="E25" s="5" t="s">
        <v>6</v>
      </c>
      <c r="F25" s="5">
        <v>1350</v>
      </c>
      <c r="G25" s="5" t="s">
        <v>7</v>
      </c>
    </row>
    <row r="26" spans="3:10" ht="15.6" thickTop="1" thickBot="1" x14ac:dyDescent="0.35">
      <c r="C26" s="7">
        <v>46045</v>
      </c>
      <c r="D26" s="1" t="s">
        <v>8</v>
      </c>
      <c r="E26" s="1" t="s">
        <v>29</v>
      </c>
      <c r="F26" s="1">
        <v>300</v>
      </c>
      <c r="G26" s="1" t="s">
        <v>7</v>
      </c>
    </row>
    <row r="27" spans="3:10" ht="15.6" thickTop="1" thickBot="1" x14ac:dyDescent="0.35">
      <c r="C27" s="7">
        <v>46046</v>
      </c>
      <c r="D27" s="5" t="s">
        <v>11</v>
      </c>
      <c r="E27" s="5" t="s">
        <v>30</v>
      </c>
      <c r="F27" s="5">
        <v>600</v>
      </c>
      <c r="G27" s="5" t="s">
        <v>7</v>
      </c>
    </row>
    <row r="28" spans="3:10" ht="15.6" thickTop="1" thickBot="1" x14ac:dyDescent="0.35">
      <c r="C28" s="7">
        <v>46047</v>
      </c>
      <c r="D28" s="1" t="s">
        <v>5</v>
      </c>
      <c r="E28" s="1" t="s">
        <v>14</v>
      </c>
      <c r="F28" s="1">
        <v>1200</v>
      </c>
      <c r="G28" s="1" t="s">
        <v>10</v>
      </c>
    </row>
    <row r="29" spans="3:10" ht="15.6" thickTop="1" thickBot="1" x14ac:dyDescent="0.35">
      <c r="C29" s="7">
        <v>46048</v>
      </c>
      <c r="D29" s="5" t="s">
        <v>15</v>
      </c>
      <c r="E29" s="5" t="s">
        <v>31</v>
      </c>
      <c r="F29" s="5">
        <v>1800</v>
      </c>
      <c r="G29" s="5" t="s">
        <v>10</v>
      </c>
    </row>
    <row r="30" spans="3:10" ht="15.6" thickTop="1" thickBot="1" x14ac:dyDescent="0.35">
      <c r="C30" s="7">
        <v>46080</v>
      </c>
      <c r="D30" s="1" t="s">
        <v>17</v>
      </c>
      <c r="E30" s="1" t="s">
        <v>32</v>
      </c>
      <c r="F30" s="1">
        <v>1500</v>
      </c>
      <c r="G30" s="1" t="s">
        <v>7</v>
      </c>
    </row>
    <row r="31" spans="3:10" ht="15.6" thickTop="1" thickBot="1" x14ac:dyDescent="0.35">
      <c r="C31" s="7">
        <v>46050</v>
      </c>
      <c r="D31" s="5" t="s">
        <v>19</v>
      </c>
      <c r="E31" s="5" t="s">
        <v>33</v>
      </c>
      <c r="F31" s="5">
        <v>2000</v>
      </c>
      <c r="G31" s="5" t="s">
        <v>7</v>
      </c>
    </row>
    <row r="32" spans="3:10" ht="15.6" thickTop="1" thickBot="1" x14ac:dyDescent="0.35">
      <c r="C32" s="7">
        <v>46051</v>
      </c>
      <c r="D32" s="1" t="s">
        <v>5</v>
      </c>
      <c r="E32" s="1" t="s">
        <v>6</v>
      </c>
      <c r="F32" s="1">
        <v>1250</v>
      </c>
      <c r="G32" s="1" t="s">
        <v>7</v>
      </c>
    </row>
    <row r="33" spans="3:7" ht="15.6" thickTop="1" thickBot="1" x14ac:dyDescent="0.35">
      <c r="C33" s="7">
        <v>46052</v>
      </c>
      <c r="D33" s="5" t="s">
        <v>8</v>
      </c>
      <c r="E33" s="5" t="s">
        <v>9</v>
      </c>
      <c r="F33" s="5">
        <v>900</v>
      </c>
      <c r="G33" s="5" t="s">
        <v>10</v>
      </c>
    </row>
    <row r="34" spans="3:7" ht="15" thickTop="1" x14ac:dyDescent="0.3">
      <c r="C34" s="7">
        <v>46053</v>
      </c>
      <c r="D34" s="1" t="s">
        <v>11</v>
      </c>
      <c r="E34" s="1" t="s">
        <v>34</v>
      </c>
      <c r="F34" s="1">
        <v>700</v>
      </c>
      <c r="G34" s="1" t="s">
        <v>13</v>
      </c>
    </row>
  </sheetData>
  <conditionalFormatting sqref="E1:E1048576">
    <cfRule type="containsText" dxfId="4" priority="11" operator="containsText" text="Fuel">
      <formula>NOT(ISERROR(SEARCH("Fuel",E1)))</formula>
    </cfRule>
    <cfRule type="containsText" dxfId="3" priority="12" operator="containsText" text="Internet">
      <formula>NOT(ISERROR(SEARCH("Internet",E1)))</formula>
    </cfRule>
  </conditionalFormatting>
  <conditionalFormatting sqref="G1:G1048576">
    <cfRule type="containsText" dxfId="2" priority="10" operator="containsText" text="Card">
      <formula>NOT(ISERROR(SEARCH("Card",G1)))</formula>
    </cfRule>
  </conditionalFormatting>
  <conditionalFormatting sqref="C1:C1048576">
    <cfRule type="top10" dxfId="1" priority="8" rank="10"/>
  </conditionalFormatting>
  <conditionalFormatting sqref="F1:F1048576">
    <cfRule type="cellIs" dxfId="0" priority="6" operator="between">
      <formula>1000</formula>
      <formula>1500</formula>
    </cfRule>
  </conditionalFormatting>
  <conditionalFormatting sqref="I13:I22">
    <cfRule type="iconSet" priority="2">
      <iconSet iconSet="3Arrows">
        <cfvo type="percent" val="0"/>
        <cfvo type="percent" val="33"/>
        <cfvo type="percent" val="67"/>
      </iconSet>
    </cfRule>
    <cfRule type="iconSet" priority="3">
      <iconSet iconSet="4Rating">
        <cfvo type="percent" val="0"/>
        <cfvo type="percent" val="25"/>
        <cfvo type="percent" val="50"/>
        <cfvo type="percent" val="75"/>
      </iconSet>
    </cfRule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{F96D16FC-DFDB-4C39-BFDC-C6F0191B66C9}</x14:id>
        </ext>
      </extLst>
    </cfRule>
  </conditionalFormatting>
  <conditionalFormatting sqref="J13:J2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6D16FC-DFDB-4C39-BFDC-C6F0191B66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I13:I22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Zain Ul Abadin</cp:lastModifiedBy>
  <dcterms:created xsi:type="dcterms:W3CDTF">2026-01-24T09:54:51Z</dcterms:created>
  <dcterms:modified xsi:type="dcterms:W3CDTF">2026-01-26T16:32:35Z</dcterms:modified>
</cp:coreProperties>
</file>