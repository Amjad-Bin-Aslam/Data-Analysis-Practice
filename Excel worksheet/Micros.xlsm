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in-Ul-Abadin\Desktop\Data-Analysis-Practice\Excel worksheet\"/>
    </mc:Choice>
  </mc:AlternateContent>
  <xr:revisionPtr revIDLastSave="0" documentId="8_{CF87F545-0076-410C-B4FC-5A655B2D8C49}" xr6:coauthVersionLast="47" xr6:coauthVersionMax="47" xr10:uidLastSave="{00000000-0000-0000-0000-000000000000}"/>
  <bookViews>
    <workbookView xWindow="72" yWindow="0" windowWidth="11484" windowHeight="12504" xr2:uid="{00000000-000D-0000-FFFF-FFFF00000000}"/>
  </bookViews>
  <sheets>
    <sheet name="January Expenses" sheetId="1" r:id="rId1"/>
  </sheets>
  <calcPr calcId="191029"/>
</workbook>
</file>

<file path=xl/calcChain.xml><?xml version="1.0" encoding="utf-8"?>
<calcChain xmlns="http://schemas.openxmlformats.org/spreadsheetml/2006/main">
  <c r="O4" i="1" l="1"/>
  <c r="O3" i="1"/>
  <c r="O2" i="1"/>
  <c r="N4" i="1"/>
  <c r="N3" i="1"/>
  <c r="N2" i="1"/>
  <c r="K3" i="1"/>
  <c r="M2" i="1"/>
  <c r="L4" i="1"/>
  <c r="L3" i="1"/>
  <c r="L2" i="1"/>
  <c r="K4" i="1"/>
  <c r="K2" i="1"/>
  <c r="T6" i="1"/>
  <c r="S5" i="1"/>
  <c r="J2" i="1"/>
  <c r="K5" i="1" l="1"/>
</calcChain>
</file>

<file path=xl/sharedStrings.xml><?xml version="1.0" encoding="utf-8"?>
<sst xmlns="http://schemas.openxmlformats.org/spreadsheetml/2006/main" count="135" uniqueCount="72">
  <si>
    <t>Date</t>
  </si>
  <si>
    <t>Category</t>
  </si>
  <si>
    <t>Sub Category</t>
  </si>
  <si>
    <t>Amount</t>
  </si>
  <si>
    <t>Payment Mode</t>
  </si>
  <si>
    <t>2026-01-01</t>
  </si>
  <si>
    <t>Food</t>
  </si>
  <si>
    <t>Groceries</t>
  </si>
  <si>
    <t>Cash</t>
  </si>
  <si>
    <t>2026-01-02</t>
  </si>
  <si>
    <t>Transport</t>
  </si>
  <si>
    <t>Fuel</t>
  </si>
  <si>
    <t>Card</t>
  </si>
  <si>
    <t>2026-01-03</t>
  </si>
  <si>
    <t>Bills</t>
  </si>
  <si>
    <t>Electricity</t>
  </si>
  <si>
    <t>Online</t>
  </si>
  <si>
    <t>2026-01-04</t>
  </si>
  <si>
    <t>Restaurant</t>
  </si>
  <si>
    <t>2026-01-05</t>
  </si>
  <si>
    <t>Shopping</t>
  </si>
  <si>
    <t>Clothes</t>
  </si>
  <si>
    <t>2026-01-06</t>
  </si>
  <si>
    <t>Health</t>
  </si>
  <si>
    <t>Medicine</t>
  </si>
  <si>
    <t>2026-01-07</t>
  </si>
  <si>
    <t>Entertainment</t>
  </si>
  <si>
    <t>Movies</t>
  </si>
  <si>
    <t>2026-01-08</t>
  </si>
  <si>
    <t>2026-01-09</t>
  </si>
  <si>
    <t>Taxi</t>
  </si>
  <si>
    <t>2026-01-10</t>
  </si>
  <si>
    <t>Internet</t>
  </si>
  <si>
    <t>2026-01-11</t>
  </si>
  <si>
    <t>2026-01-12</t>
  </si>
  <si>
    <t>Electronics</t>
  </si>
  <si>
    <t>2026-01-13</t>
  </si>
  <si>
    <t>Doctor</t>
  </si>
  <si>
    <t>2026-01-14</t>
  </si>
  <si>
    <t>Games</t>
  </si>
  <si>
    <t>2026-01-15</t>
  </si>
  <si>
    <t>2026-01-16</t>
  </si>
  <si>
    <t>2026-01-17</t>
  </si>
  <si>
    <t>Gas</t>
  </si>
  <si>
    <t>2026-01-18</t>
  </si>
  <si>
    <t>2026-01-19</t>
  </si>
  <si>
    <t>Shoes</t>
  </si>
  <si>
    <t>2026-01-20</t>
  </si>
  <si>
    <t>2026-01-21</t>
  </si>
  <si>
    <t>Streaming</t>
  </si>
  <si>
    <t>2026-01-22</t>
  </si>
  <si>
    <t>2026-01-23</t>
  </si>
  <si>
    <t>Bus</t>
  </si>
  <si>
    <t>2026-01-24</t>
  </si>
  <si>
    <t>Water</t>
  </si>
  <si>
    <t>2026-01-25</t>
  </si>
  <si>
    <t>2026-01-26</t>
  </si>
  <si>
    <t>Accessories</t>
  </si>
  <si>
    <t>2026-01-27</t>
  </si>
  <si>
    <t>Checkup</t>
  </si>
  <si>
    <t>2026-01-28</t>
  </si>
  <si>
    <t>Outing</t>
  </si>
  <si>
    <t>2026-01-29</t>
  </si>
  <si>
    <t>2026-01-30</t>
  </si>
  <si>
    <t>2026-01-31</t>
  </si>
  <si>
    <t>Mobile</t>
  </si>
  <si>
    <t>Sum</t>
  </si>
  <si>
    <t>Sumif</t>
  </si>
  <si>
    <t>Count</t>
  </si>
  <si>
    <t>Countif</t>
  </si>
  <si>
    <t>Sumifs</t>
  </si>
  <si>
    <t>Countifs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</si>
</sst>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3" borderId="1" xfId="0" applyFont="1" applyFill="1" applyBorder="1"/>
    <xf numFmtId="0" fontId="1" fillId="2" borderId="0" xfId="0" applyFont="1" applyFill="1" applyBorder="1"/>
    <xf numFmtId="0" fontId="1" fillId="2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4" borderId="5" xfId="0" applyFont="1" applyFill="1" applyBorder="1"/>
    <xf numFmtId="0" fontId="0" fillId="4" borderId="1" xfId="0" applyFont="1" applyFill="1" applyBorder="1"/>
    <xf numFmtId="0" fontId="0" fillId="3" borderId="5" xfId="0" applyFont="1" applyFill="1" applyBorder="1"/>
  </cellXfs>
  <cellStyles count="1">
    <cellStyle name="Normal" xfId="0" builtinId="0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T32"/>
  <sheetViews>
    <sheetView tabSelected="1" zoomScale="98" zoomScaleNormal="98" workbookViewId="0">
      <selection activeCell="H13" sqref="H13"/>
    </sheetView>
  </sheetViews>
  <sheetFormatPr defaultRowHeight="14.4" x14ac:dyDescent="0.3"/>
  <cols>
    <col min="3" max="3" width="10.33203125" bestFit="1" customWidth="1"/>
    <col min="4" max="4" width="12.6640625" bestFit="1" customWidth="1"/>
    <col min="5" max="5" width="14.109375" customWidth="1"/>
    <col min="6" max="6" width="9.77734375" customWidth="1"/>
    <col min="7" max="9" width="15.88671875" customWidth="1"/>
  </cols>
  <sheetData>
    <row r="1" spans="3:20" ht="15" thickBot="1" x14ac:dyDescent="0.35">
      <c r="C1" s="2" t="s">
        <v>0</v>
      </c>
      <c r="D1" s="3" t="s">
        <v>1</v>
      </c>
      <c r="E1" s="3" t="s">
        <v>2</v>
      </c>
      <c r="F1" s="3" t="s">
        <v>3</v>
      </c>
      <c r="G1" s="3" t="s">
        <v>4</v>
      </c>
      <c r="J1" t="s">
        <v>66</v>
      </c>
      <c r="K1" t="s">
        <v>67</v>
      </c>
      <c r="L1" t="s">
        <v>70</v>
      </c>
      <c r="M1" t="s">
        <v>68</v>
      </c>
      <c r="N1" t="s">
        <v>69</v>
      </c>
      <c r="O1" t="s">
        <v>71</v>
      </c>
    </row>
    <row r="2" spans="3:20" ht="15" thickTop="1" x14ac:dyDescent="0.3">
      <c r="C2" s="4" t="s">
        <v>5</v>
      </c>
      <c r="D2" s="5" t="s">
        <v>6</v>
      </c>
      <c r="E2" s="5" t="s">
        <v>7</v>
      </c>
      <c r="F2" s="5">
        <v>1200</v>
      </c>
      <c r="G2" s="5" t="s">
        <v>8</v>
      </c>
      <c r="J2">
        <f>SUM(F:F)</f>
        <v>40000</v>
      </c>
      <c r="K2">
        <f>SUMIF('January Expenses'!$G$2:$G$32,"Cash",'January Expenses'!$F$2:$F$32)</f>
        <v>15750</v>
      </c>
      <c r="L2">
        <f>SUMIFS('January Expenses'!$F$2:$F$32,'January Expenses'!$G$2:$G$32,"Cash",'January Expenses'!$E$2:$E$32,"Groceries")</f>
        <v>6500</v>
      </c>
      <c r="M2">
        <f>COUNT('January Expenses'!$F$2:$F$32)</f>
        <v>31</v>
      </c>
      <c r="N2">
        <f>COUNTIF('January Expenses'!$G$2:$G$32,"Cash")</f>
        <v>15</v>
      </c>
      <c r="O2">
        <f>COUNTIFS('January Expenses'!$G$2:$G$32,"Cash",'January Expenses'!$D$2:$D$32,"Food")</f>
        <v>6</v>
      </c>
      <c r="S2">
        <v>40</v>
      </c>
      <c r="T2">
        <v>50</v>
      </c>
    </row>
    <row r="3" spans="3:20" x14ac:dyDescent="0.3">
      <c r="C3" s="6" t="s">
        <v>9</v>
      </c>
      <c r="D3" s="7" t="s">
        <v>10</v>
      </c>
      <c r="E3" s="7" t="s">
        <v>11</v>
      </c>
      <c r="F3" s="7">
        <v>800</v>
      </c>
      <c r="G3" s="7" t="s">
        <v>12</v>
      </c>
      <c r="K3">
        <f>SUMIF('January Expenses'!$G$2:$G$32,"Online",'January Expenses'!$F$2:$F$32)</f>
        <v>6100</v>
      </c>
      <c r="L3">
        <f>SUMIFS('January Expenses'!$F$2:$F$32,'January Expenses'!$G$2:$G$32,"Card",'January Expenses'!$E$2:$E$32,"Fuel")</f>
        <v>2550</v>
      </c>
      <c r="N3">
        <f>COUNTIF('January Expenses'!$G$2:$G$32,"Online")</f>
        <v>6</v>
      </c>
      <c r="O3">
        <f>COUNTIFS('January Expenses'!$G$2:$G$32,"Online",'January Expenses'!$D$2:$D$32,"Bills")</f>
        <v>3</v>
      </c>
      <c r="S3">
        <v>70</v>
      </c>
      <c r="T3">
        <v>60</v>
      </c>
    </row>
    <row r="4" spans="3:20" x14ac:dyDescent="0.3">
      <c r="C4" s="8" t="s">
        <v>13</v>
      </c>
      <c r="D4" s="1" t="s">
        <v>14</v>
      </c>
      <c r="E4" s="1" t="s">
        <v>15</v>
      </c>
      <c r="F4" s="1">
        <v>1500</v>
      </c>
      <c r="G4" s="1" t="s">
        <v>16</v>
      </c>
      <c r="K4">
        <f>SUMIF('January Expenses'!$G$2:$G$32,"Card",'January Expenses'!$F$2:$F$32)</f>
        <v>18150</v>
      </c>
      <c r="L4">
        <f>SUMIFS('January Expenses'!$F$2:$F$32,'January Expenses'!$G$2:$G$32,"Online",'January Expenses'!$D$2:$D$32,"Health")</f>
        <v>0</v>
      </c>
      <c r="N4">
        <f>COUNTIF('January Expenses'!$G$2:$G$32,"Card")</f>
        <v>10</v>
      </c>
      <c r="O4">
        <f>COUNTIFS('January Expenses'!$D$2:$D$32,"Transport",'January Expenses'!$G$2:$G$32,"Cash")</f>
        <v>2</v>
      </c>
      <c r="S4">
        <v>20</v>
      </c>
      <c r="T4">
        <v>70</v>
      </c>
    </row>
    <row r="5" spans="3:20" x14ac:dyDescent="0.3">
      <c r="C5" s="6" t="s">
        <v>17</v>
      </c>
      <c r="D5" s="7" t="s">
        <v>6</v>
      </c>
      <c r="E5" s="7" t="s">
        <v>18</v>
      </c>
      <c r="F5" s="7">
        <v>900</v>
      </c>
      <c r="G5" s="7" t="s">
        <v>8</v>
      </c>
      <c r="K5">
        <f>SUM(K2:K4)</f>
        <v>40000</v>
      </c>
      <c r="S5">
        <f>SUM(S2:S4)</f>
        <v>130</v>
      </c>
      <c r="T5">
        <v>80</v>
      </c>
    </row>
    <row r="6" spans="3:20" x14ac:dyDescent="0.3">
      <c r="C6" s="8" t="s">
        <v>19</v>
      </c>
      <c r="D6" s="1" t="s">
        <v>20</v>
      </c>
      <c r="E6" s="1" t="s">
        <v>21</v>
      </c>
      <c r="F6" s="1">
        <v>2500</v>
      </c>
      <c r="G6" s="1" t="s">
        <v>12</v>
      </c>
      <c r="T6">
        <f>SUM(T2:T5)</f>
        <v>260</v>
      </c>
    </row>
    <row r="7" spans="3:20" x14ac:dyDescent="0.3">
      <c r="C7" s="6" t="s">
        <v>22</v>
      </c>
      <c r="D7" s="7" t="s">
        <v>23</v>
      </c>
      <c r="E7" s="7" t="s">
        <v>24</v>
      </c>
      <c r="F7" s="7">
        <v>600</v>
      </c>
      <c r="G7" s="7" t="s">
        <v>8</v>
      </c>
    </row>
    <row r="8" spans="3:20" x14ac:dyDescent="0.3">
      <c r="C8" s="8" t="s">
        <v>25</v>
      </c>
      <c r="D8" s="1" t="s">
        <v>26</v>
      </c>
      <c r="E8" s="1" t="s">
        <v>27</v>
      </c>
      <c r="F8" s="1">
        <v>700</v>
      </c>
      <c r="G8" s="1" t="s">
        <v>16</v>
      </c>
    </row>
    <row r="9" spans="3:20" x14ac:dyDescent="0.3">
      <c r="C9" s="6" t="s">
        <v>28</v>
      </c>
      <c r="D9" s="7" t="s">
        <v>6</v>
      </c>
      <c r="E9" s="7" t="s">
        <v>7</v>
      </c>
      <c r="F9" s="7">
        <v>1300</v>
      </c>
      <c r="G9" s="7" t="s">
        <v>8</v>
      </c>
    </row>
    <row r="10" spans="3:20" x14ac:dyDescent="0.3">
      <c r="C10" s="8" t="s">
        <v>29</v>
      </c>
      <c r="D10" s="1" t="s">
        <v>10</v>
      </c>
      <c r="E10" s="1" t="s">
        <v>30</v>
      </c>
      <c r="F10" s="1">
        <v>500</v>
      </c>
      <c r="G10" s="1" t="s">
        <v>8</v>
      </c>
    </row>
    <row r="11" spans="3:20" x14ac:dyDescent="0.3">
      <c r="C11" s="6" t="s">
        <v>31</v>
      </c>
      <c r="D11" s="7" t="s">
        <v>14</v>
      </c>
      <c r="E11" s="7" t="s">
        <v>32</v>
      </c>
      <c r="F11" s="7">
        <v>1800</v>
      </c>
      <c r="G11" s="7" t="s">
        <v>16</v>
      </c>
    </row>
    <row r="12" spans="3:20" x14ac:dyDescent="0.3">
      <c r="C12" s="8" t="s">
        <v>33</v>
      </c>
      <c r="D12" s="1" t="s">
        <v>6</v>
      </c>
      <c r="E12" s="1" t="s">
        <v>18</v>
      </c>
      <c r="F12" s="1">
        <v>1100</v>
      </c>
      <c r="G12" s="1" t="s">
        <v>12</v>
      </c>
    </row>
    <row r="13" spans="3:20" x14ac:dyDescent="0.3">
      <c r="C13" s="6" t="s">
        <v>34</v>
      </c>
      <c r="D13" s="7" t="s">
        <v>20</v>
      </c>
      <c r="E13" s="7" t="s">
        <v>35</v>
      </c>
      <c r="F13" s="7">
        <v>5000</v>
      </c>
      <c r="G13" s="7" t="s">
        <v>12</v>
      </c>
    </row>
    <row r="14" spans="3:20" x14ac:dyDescent="0.3">
      <c r="C14" s="8" t="s">
        <v>36</v>
      </c>
      <c r="D14" s="1" t="s">
        <v>23</v>
      </c>
      <c r="E14" s="1" t="s">
        <v>37</v>
      </c>
      <c r="F14" s="1">
        <v>1200</v>
      </c>
      <c r="G14" s="1" t="s">
        <v>8</v>
      </c>
    </row>
    <row r="15" spans="3:20" x14ac:dyDescent="0.3">
      <c r="C15" s="6" t="s">
        <v>38</v>
      </c>
      <c r="D15" s="7" t="s">
        <v>26</v>
      </c>
      <c r="E15" s="7" t="s">
        <v>39</v>
      </c>
      <c r="F15" s="7">
        <v>900</v>
      </c>
      <c r="G15" s="7" t="s">
        <v>16</v>
      </c>
    </row>
    <row r="16" spans="3:20" x14ac:dyDescent="0.3">
      <c r="C16" s="8" t="s">
        <v>40</v>
      </c>
      <c r="D16" s="1" t="s">
        <v>6</v>
      </c>
      <c r="E16" s="1" t="s">
        <v>7</v>
      </c>
      <c r="F16" s="1">
        <v>1400</v>
      </c>
      <c r="G16" s="1" t="s">
        <v>8</v>
      </c>
    </row>
    <row r="17" spans="3:7" x14ac:dyDescent="0.3">
      <c r="C17" s="6" t="s">
        <v>41</v>
      </c>
      <c r="D17" s="7" t="s">
        <v>10</v>
      </c>
      <c r="E17" s="7" t="s">
        <v>11</v>
      </c>
      <c r="F17" s="7">
        <v>850</v>
      </c>
      <c r="G17" s="7" t="s">
        <v>12</v>
      </c>
    </row>
    <row r="18" spans="3:7" x14ac:dyDescent="0.3">
      <c r="C18" s="8" t="s">
        <v>42</v>
      </c>
      <c r="D18" s="1" t="s">
        <v>14</v>
      </c>
      <c r="E18" s="1" t="s">
        <v>43</v>
      </c>
      <c r="F18" s="1">
        <v>1000</v>
      </c>
      <c r="G18" s="1" t="s">
        <v>8</v>
      </c>
    </row>
    <row r="19" spans="3:7" x14ac:dyDescent="0.3">
      <c r="C19" s="6" t="s">
        <v>44</v>
      </c>
      <c r="D19" s="7" t="s">
        <v>6</v>
      </c>
      <c r="E19" s="7" t="s">
        <v>18</v>
      </c>
      <c r="F19" s="7">
        <v>1000</v>
      </c>
      <c r="G19" s="7" t="s">
        <v>12</v>
      </c>
    </row>
    <row r="20" spans="3:7" x14ac:dyDescent="0.3">
      <c r="C20" s="8" t="s">
        <v>45</v>
      </c>
      <c r="D20" s="1" t="s">
        <v>20</v>
      </c>
      <c r="E20" s="1" t="s">
        <v>46</v>
      </c>
      <c r="F20" s="1">
        <v>3000</v>
      </c>
      <c r="G20" s="1" t="s">
        <v>12</v>
      </c>
    </row>
    <row r="21" spans="3:7" x14ac:dyDescent="0.3">
      <c r="C21" s="6" t="s">
        <v>47</v>
      </c>
      <c r="D21" s="7" t="s">
        <v>23</v>
      </c>
      <c r="E21" s="7" t="s">
        <v>24</v>
      </c>
      <c r="F21" s="7">
        <v>650</v>
      </c>
      <c r="G21" s="7" t="s">
        <v>8</v>
      </c>
    </row>
    <row r="22" spans="3:7" x14ac:dyDescent="0.3">
      <c r="C22" s="8" t="s">
        <v>48</v>
      </c>
      <c r="D22" s="1" t="s">
        <v>26</v>
      </c>
      <c r="E22" s="1" t="s">
        <v>49</v>
      </c>
      <c r="F22" s="1">
        <v>500</v>
      </c>
      <c r="G22" s="1" t="s">
        <v>16</v>
      </c>
    </row>
    <row r="23" spans="3:7" x14ac:dyDescent="0.3">
      <c r="C23" s="6" t="s">
        <v>50</v>
      </c>
      <c r="D23" s="7" t="s">
        <v>6</v>
      </c>
      <c r="E23" s="7" t="s">
        <v>7</v>
      </c>
      <c r="F23" s="7">
        <v>1350</v>
      </c>
      <c r="G23" s="7" t="s">
        <v>8</v>
      </c>
    </row>
    <row r="24" spans="3:7" x14ac:dyDescent="0.3">
      <c r="C24" s="8" t="s">
        <v>51</v>
      </c>
      <c r="D24" s="1" t="s">
        <v>10</v>
      </c>
      <c r="E24" s="1" t="s">
        <v>52</v>
      </c>
      <c r="F24" s="1">
        <v>300</v>
      </c>
      <c r="G24" s="1" t="s">
        <v>8</v>
      </c>
    </row>
    <row r="25" spans="3:7" x14ac:dyDescent="0.3">
      <c r="C25" s="6" t="s">
        <v>53</v>
      </c>
      <c r="D25" s="7" t="s">
        <v>14</v>
      </c>
      <c r="E25" s="7" t="s">
        <v>54</v>
      </c>
      <c r="F25" s="7">
        <v>600</v>
      </c>
      <c r="G25" s="7" t="s">
        <v>8</v>
      </c>
    </row>
    <row r="26" spans="3:7" x14ac:dyDescent="0.3">
      <c r="C26" s="8" t="s">
        <v>55</v>
      </c>
      <c r="D26" s="1" t="s">
        <v>6</v>
      </c>
      <c r="E26" s="1" t="s">
        <v>18</v>
      </c>
      <c r="F26" s="1">
        <v>1200</v>
      </c>
      <c r="G26" s="1" t="s">
        <v>12</v>
      </c>
    </row>
    <row r="27" spans="3:7" x14ac:dyDescent="0.3">
      <c r="C27" s="6" t="s">
        <v>56</v>
      </c>
      <c r="D27" s="7" t="s">
        <v>20</v>
      </c>
      <c r="E27" s="7" t="s">
        <v>57</v>
      </c>
      <c r="F27" s="7">
        <v>1800</v>
      </c>
      <c r="G27" s="7" t="s">
        <v>12</v>
      </c>
    </row>
    <row r="28" spans="3:7" x14ac:dyDescent="0.3">
      <c r="C28" s="8" t="s">
        <v>58</v>
      </c>
      <c r="D28" s="1" t="s">
        <v>23</v>
      </c>
      <c r="E28" s="1" t="s">
        <v>59</v>
      </c>
      <c r="F28" s="1">
        <v>1500</v>
      </c>
      <c r="G28" s="1" t="s">
        <v>8</v>
      </c>
    </row>
    <row r="29" spans="3:7" x14ac:dyDescent="0.3">
      <c r="C29" s="6" t="s">
        <v>60</v>
      </c>
      <c r="D29" s="7" t="s">
        <v>26</v>
      </c>
      <c r="E29" s="7" t="s">
        <v>61</v>
      </c>
      <c r="F29" s="7">
        <v>2000</v>
      </c>
      <c r="G29" s="7" t="s">
        <v>8</v>
      </c>
    </row>
    <row r="30" spans="3:7" x14ac:dyDescent="0.3">
      <c r="C30" s="8" t="s">
        <v>62</v>
      </c>
      <c r="D30" s="1" t="s">
        <v>6</v>
      </c>
      <c r="E30" s="1" t="s">
        <v>7</v>
      </c>
      <c r="F30" s="1">
        <v>1250</v>
      </c>
      <c r="G30" s="1" t="s">
        <v>8</v>
      </c>
    </row>
    <row r="31" spans="3:7" x14ac:dyDescent="0.3">
      <c r="C31" s="6" t="s">
        <v>63</v>
      </c>
      <c r="D31" s="7" t="s">
        <v>10</v>
      </c>
      <c r="E31" s="7" t="s">
        <v>11</v>
      </c>
      <c r="F31" s="7">
        <v>900</v>
      </c>
      <c r="G31" s="7" t="s">
        <v>12</v>
      </c>
    </row>
    <row r="32" spans="3:7" x14ac:dyDescent="0.3">
      <c r="C32" s="8" t="s">
        <v>64</v>
      </c>
      <c r="D32" s="1" t="s">
        <v>14</v>
      </c>
      <c r="E32" s="1" t="s">
        <v>65</v>
      </c>
      <c r="F32" s="1">
        <v>700</v>
      </c>
      <c r="G32" s="1" t="s">
        <v>16</v>
      </c>
    </row>
  </sheetData>
  <sortState xmlns:xlrd2="http://schemas.microsoft.com/office/spreadsheetml/2017/richdata2" ref="C2:G32">
    <sortCondition ref="C2:C32"/>
  </sortState>
  <conditionalFormatting sqref="F2:F32">
    <cfRule type="cellIs" dxfId="1" priority="2" operator="greaterThan">
      <formula>1000</formula>
    </cfRule>
  </conditionalFormatting>
  <conditionalFormatting sqref="G1:G1048576">
    <cfRule type="cellIs" dxfId="0" priority="1" operator="equal">
      <formula>"Cash"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January 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Zain Ul Abadin</cp:lastModifiedBy>
  <dcterms:created xsi:type="dcterms:W3CDTF">2026-01-24T09:54:51Z</dcterms:created>
  <dcterms:modified xsi:type="dcterms:W3CDTF">2026-01-27T14:40:43Z</dcterms:modified>
</cp:coreProperties>
</file>